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perators" sheetId="2" state="visible" r:id="rId4"/>
    <sheet name="Rental Procedures" sheetId="3" state="visible" r:id="rId5"/>
    <sheet name="Glider Types" sheetId="4" state="visible" r:id="rId6"/>
    <sheet name="Fleet Register" sheetId="5" state="visible" r:id="rId7"/>
    <sheet name="Travel" sheetId="6" state="visible" r:id="rId8"/>
    <sheet name="Contact Log" sheetId="7" state="visible" r:id="rId9"/>
  </sheets>
  <definedNames>
    <definedName function="false" hidden="true" localSheetId="6" name="_xlnm._FilterDatabase" vbProcedure="false">'Contact Log'!$A$1:$I$2</definedName>
    <definedName function="false" hidden="true" localSheetId="4" name="_xlnm._FilterDatabase" vbProcedure="false">'Fleet Register'!$A$1:$P$179</definedName>
    <definedName function="false" hidden="true" localSheetId="3" name="_xlnm._FilterDatabase" vbProcedure="false">'Glider Types'!$A$1:$K$35</definedName>
    <definedName function="false" hidden="true" localSheetId="1" name="_xlnm._FilterDatabase" vbProcedure="false">Operators!$A$1:$T$53</definedName>
    <definedName function="false" hidden="true" localSheetId="2" name="_xlnm._FilterDatabase" vbProcedure="false">'Rental Procedures'!$A$1:$G$53</definedName>
    <definedName function="false" hidden="true" localSheetId="5" name="_xlnm._FilterDatabase" vbProcedure="false">Travel!$A$1:$F$22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<sst xmlns="http://schemas.openxmlformats.org/spreadsheetml/2006/main" count="2826" uniqueCount="1227">
  <si>
    <t xml:space="preserve">Chase-Lift Soaring Register</t>
  </si>
  <si>
    <t xml:space="preserve">Compiled 2026-09-22 for Martin (GBSC). Rates, policies and fleets are as published by each operator on that date; anything marked 'unverified' or 'call' needs a phone call before a trip.</t>
  </si>
  <si>
    <t xml:space="preserve">Sheets</t>
  </si>
  <si>
    <t xml:space="preserve">Operators: one row per site. Rank = ease of short-notice rental for a visiting licensed pilot (1 = easiest) within its region; 0 = not ranked.</t>
  </si>
  <si>
    <t xml:space="preserve">Rental Procedures: what it takes to rent, costs, tall-pilot notes, sources.</t>
  </si>
  <si>
    <t xml:space="preserve">Fleet Register: every glider found, with N-number where the FAA registry or fleet page gave one; performance columns pull from Glider Types.</t>
  </si>
  <si>
    <t xml:space="preserve">Glider Types: glide ratio, speeds, span and cockpit notes per type.</t>
  </si>
  <si>
    <t xml:space="preserve">Travel: flight tiers from Boston on a Friday evening.</t>
  </si>
  <si>
    <t xml:space="preserve">Contact Log: fill this in as you build relationships (one row per call/email/visit).</t>
  </si>
  <si>
    <t xml:space="preserve">Rental categories</t>
  </si>
  <si>
    <t xml:space="preserve">RENT: Rents to visitors</t>
  </si>
  <si>
    <t xml:space="preserve">GUEST: Guest / short-term membership</t>
  </si>
  <si>
    <t xml:space="preserve">JOIN: Membership required</t>
  </si>
  <si>
    <t xml:space="preserve">UNK: Unknown, call</t>
  </si>
  <si>
    <t xml:space="preserve">CLOSED: Closed / inactive</t>
  </si>
  <si>
    <t xml:space="preserve">Access</t>
  </si>
  <si>
    <t xml:space="preserve">VAN: Van, 4 h or less</t>
  </si>
  <si>
    <t xml:space="preserve">VANEDGE: Van, about 4 h</t>
  </si>
  <si>
    <t xml:space="preserve">FLY: Fly Friday night</t>
  </si>
  <si>
    <t xml:space="preserve">FAR: Out of range</t>
  </si>
  <si>
    <t xml:space="preserve">Standing prerequisites for renting anywhere</t>
  </si>
  <si>
    <t xml:space="preserve">Current SSA (Soaring Society of America) membership; nearly every club requires it.</t>
  </si>
  <si>
    <t xml:space="preserve">Non-owner (renter) glider insurance with hull cover; Arizona Soaring needs $15k-100k by type, Seminole-Lake $40k, SoaringNV proof of policy.</t>
  </si>
  <si>
    <t xml:space="preserve">Logbook showing currency; a checkout at each new site, done on a first visit in good weather, then short-notice trips by phone.</t>
  </si>
  <si>
    <t xml:space="preserve">Tall-pilot rule: sit in the actual glider before planning a trip around it. Tall-pilot notes are general type reputation unless the operator stated a limit.</t>
  </si>
  <si>
    <t xml:space="preserve">ID</t>
  </si>
  <si>
    <t xml:space="preserve">Operator</t>
  </si>
  <si>
    <t xml:space="preserve">Type</t>
  </si>
  <si>
    <t xml:space="preserve">Region</t>
  </si>
  <si>
    <t xml:space="preserve">Airport</t>
  </si>
  <si>
    <t xml:space="preserve">Town</t>
  </si>
  <si>
    <t xml:space="preserve">Travel from Newton</t>
  </si>
  <si>
    <t xml:space="preserve">Soaring</t>
  </si>
  <si>
    <t xml:space="preserve">Season / days</t>
  </si>
  <si>
    <t xml:space="preserve">Rental status</t>
  </si>
  <si>
    <t xml:space="preserve">Rank</t>
  </si>
  <si>
    <t xml:space="preserve">Gliders listed</t>
  </si>
  <si>
    <t xml:space="preserve">Phone</t>
  </si>
  <si>
    <t xml:space="preserve">Email</t>
  </si>
  <si>
    <t xml:space="preserve">Contacts</t>
  </si>
  <si>
    <t xml:space="preserve">Website</t>
  </si>
  <si>
    <t xml:space="preserve">Lat</t>
  </si>
  <si>
    <t xml:space="preserve">Lon</t>
  </si>
  <si>
    <t xml:space="preserve">Last verified</t>
  </si>
  <si>
    <t xml:space="preserve">SUGAR</t>
  </si>
  <si>
    <t xml:space="preserve">Sugarbush Soaring</t>
  </si>
  <si>
    <t xml:space="preserve">Commercial-style club</t>
  </si>
  <si>
    <t xml:space="preserve">New England</t>
  </si>
  <si>
    <t xml:space="preserve">Warren-Sugarbush (0B7)</t>
  </si>
  <si>
    <t xml:space="preserve">Warren, VT</t>
  </si>
  <si>
    <t xml:space="preserve">Van, about 4 h</t>
  </si>
  <si>
    <t xml:space="preserve">191 mi; 3:15 typical, 3:45-4:00 Fri</t>
  </si>
  <si>
    <t xml:space="preserve">Thermal, ridge, wave</t>
  </si>
  <si>
    <t xml:space="preserve">7 days (closed Tue), roughly May-Oct; airport closed Nov-Apr</t>
  </si>
  <si>
    <t xml:space="preserve">Rents to visitors</t>
  </si>
  <si>
    <t xml:space="preserve">802-496-2290</t>
  </si>
  <si>
    <t xml:space="preserve">(via website)</t>
  </si>
  <si>
    <t xml:space="preserve">Not published</t>
  </si>
  <si>
    <t xml:space="preserve">https://sugarbushsoaring.com/</t>
  </si>
  <si>
    <t xml:space="preserve">2026-09-22</t>
  </si>
  <si>
    <t xml:space="preserve">GBSC</t>
  </si>
  <si>
    <t xml:space="preserve">Greater Boston Soaring Club (home club)</t>
  </si>
  <si>
    <t xml:space="preserve">Club</t>
  </si>
  <si>
    <t xml:space="preserve">Sterling (3B3)</t>
  </si>
  <si>
    <t xml:space="preserve">Sterling, MA</t>
  </si>
  <si>
    <t xml:space="preserve">Van, 4 h or less</t>
  </si>
  <si>
    <t xml:space="preserve">45 mi; 0:50 typical, 1:15-1:30 Fri evening</t>
  </si>
  <si>
    <t xml:space="preserve">Thermal</t>
  </si>
  <si>
    <t xml:space="preserve">Weekends + holidays, Apr-Nov; some weekdays</t>
  </si>
  <si>
    <t xml:space="preserve">Membership required</t>
  </si>
  <si>
    <t xml:space="preserve">(field phone not published)</t>
  </si>
  <si>
    <t xml:space="preserve">membership@soargbsc.com</t>
  </si>
  <si>
    <t xml:space="preserve">Tony Verhulst (groups.io); Dwight Schirmer (treasurer); Ken Flaton (evening ground school)</t>
  </si>
  <si>
    <t xml:space="preserve">https://www.soargbsc.net/</t>
  </si>
  <si>
    <t xml:space="preserve">MOHAWK</t>
  </si>
  <si>
    <t xml:space="preserve">Mohawk Soaring Club</t>
  </si>
  <si>
    <t xml:space="preserve">Harriman-and-West (AQW)</t>
  </si>
  <si>
    <t xml:space="preserve">North Adams, MA</t>
  </si>
  <si>
    <t xml:space="preserve">~135 mi; 2:40 typical, 3:10 Fri</t>
  </si>
  <si>
    <t xml:space="preserve">Ridge (Mt Greylock, Taconics), thermal</t>
  </si>
  <si>
    <t xml:space="preserve">Saturdays + one midweek day (usually Wed), Apr-Nov</t>
  </si>
  <si>
    <t xml:space="preserve">Guest / short-term membership</t>
  </si>
  <si>
    <t xml:space="preserve">(not published)</t>
  </si>
  <si>
    <t xml:space="preserve">doug.herrick at rcn.com (rides)</t>
  </si>
  <si>
    <t xml:space="preserve">Doug Herrick (rides); Jon Goodman (president, 2022)</t>
  </si>
  <si>
    <t xml:space="preserve">http://www.soarmohawk.com/</t>
  </si>
  <si>
    <t xml:space="preserve">POSTMILLS</t>
  </si>
  <si>
    <t xml:space="preserve">Post Mills Soaring Club</t>
  </si>
  <si>
    <t xml:space="preserve">Post Mills (2B9)</t>
  </si>
  <si>
    <t xml:space="preserve">Post Mills, VT</t>
  </si>
  <si>
    <t xml:space="preserve">155 mi; 2:40 typical, 3:10 Fri</t>
  </si>
  <si>
    <t xml:space="preserve">Weekends assumed (unverified), spring-fall</t>
  </si>
  <si>
    <t xml:space="preserve">802-333-9401</t>
  </si>
  <si>
    <t xml:space="preserve">andrew.e.lumley@gmail.com</t>
  </si>
  <si>
    <t xml:space="preserve">Andy Lumley (membership + airport manager, 802-266-1355)</t>
  </si>
  <si>
    <t xml:space="preserve">https://flypmsc.org/</t>
  </si>
  <si>
    <t xml:space="preserve">NESA</t>
  </si>
  <si>
    <t xml:space="preserve">New England Soaring Association</t>
  </si>
  <si>
    <t xml:space="preserve">Hartness State (VSF)</t>
  </si>
  <si>
    <t xml:space="preserve">Springfield, VT</t>
  </si>
  <si>
    <t xml:space="preserve">123 mi; 2:15 typical, 2:45 Fri</t>
  </si>
  <si>
    <t xml:space="preserve">Mostly weekends, Apr-Nov</t>
  </si>
  <si>
    <t xml:space="preserve">(web form)</t>
  </si>
  <si>
    <t xml:space="preserve">Jim Malecha (pres.), Larry Perry (VP), Andy Kozak (sec.), Jerry Smith (treas.)</t>
  </si>
  <si>
    <t xml:space="preserve">https://www.flynesa.com/</t>
  </si>
  <si>
    <t xml:space="preserve">FRANCONIA</t>
  </si>
  <si>
    <t xml:space="preserve">Franconia Soaring Association</t>
  </si>
  <si>
    <t xml:space="preserve">Franconia (1B5)</t>
  </si>
  <si>
    <t xml:space="preserve">Franconia, NH</t>
  </si>
  <si>
    <t xml:space="preserve">151 mi; 2:30 typical, 3:00-3:30 Fri</t>
  </si>
  <si>
    <t xml:space="preserve">Thermal, ridge (Cannon/Kinsman), wave</t>
  </si>
  <si>
    <t xml:space="preserve">Weekends + holidays, Fri by arrangement, ~May-Oct</t>
  </si>
  <si>
    <t xml:space="preserve">Unknown, call</t>
  </si>
  <si>
    <t xml:space="preserve">603-823-5034</t>
  </si>
  <si>
    <t xml:space="preserve">franconiasoaring@gmail.com</t>
  </si>
  <si>
    <t xml:space="preserve">James R. David (airport manager, 603-921-1588)</t>
  </si>
  <si>
    <t xml:space="preserve">http://www.franconiasoaring.org/</t>
  </si>
  <si>
    <t xml:space="preserve">CSA</t>
  </si>
  <si>
    <t xml:space="preserve">Connecticut Soaring Association</t>
  </si>
  <si>
    <t xml:space="preserve">Windham (IJD)</t>
  </si>
  <si>
    <t xml:space="preserve">Windham, CT</t>
  </si>
  <si>
    <t xml:space="preserve">84 mi; 1:30 typical, 2:00 Fri</t>
  </si>
  <si>
    <t xml:space="preserve">~Apr-Nov; midweek program since 2024</t>
  </si>
  <si>
    <t xml:space="preserve">860-202-1866</t>
  </si>
  <si>
    <t xml:space="preserve">contact@ctsoaring.org</t>
  </si>
  <si>
    <t xml:space="preserve">https://www.ctsoaring.org/</t>
  </si>
  <si>
    <t xml:space="preserve">GORHAM</t>
  </si>
  <si>
    <t xml:space="preserve">Mt Washington Wave Camp (GBSC/Franconia/Post Mills)</t>
  </si>
  <si>
    <t xml:space="preserve">Event</t>
  </si>
  <si>
    <t xml:space="preserve">Gorham (2G8)</t>
  </si>
  <si>
    <t xml:space="preserve">Gorham, NH</t>
  </si>
  <si>
    <t xml:space="preserve">183 mi; 3:15 typical, 3:45-4:15 Fri</t>
  </si>
  <si>
    <t xml:space="preserve">Wave (Mt Washington)</t>
  </si>
  <si>
    <t xml:space="preserve">~10 days mid-October (Columbus Day)</t>
  </si>
  <si>
    <t xml:space="preserve">(via GBSC)</t>
  </si>
  <si>
    <t xml:space="preserve">Run jointly by host clubs</t>
  </si>
  <si>
    <t xml:space="preserve">https://www.soargbsc.com/wave/MtWashBrief.pdf</t>
  </si>
  <si>
    <t xml:space="preserve">SANFORD</t>
  </si>
  <si>
    <t xml:space="preserve">Sanford Soaring</t>
  </si>
  <si>
    <t xml:space="preserve">Club?</t>
  </si>
  <si>
    <t xml:space="preserve">Sanford Seacoast (SFM)</t>
  </si>
  <si>
    <t xml:space="preserve">Sanford, ME</t>
  </si>
  <si>
    <t xml:space="preserve">92 mi; 1:40 typical, 2:15 Fri</t>
  </si>
  <si>
    <t xml:space="preserve">Thermal, sea breeze</t>
  </si>
  <si>
    <t xml:space="preserve">Unknown</t>
  </si>
  <si>
    <t xml:space="preserve">Closed / inactive</t>
  </si>
  <si>
    <t xml:space="preserve">https://www.facebook.com/sanfordsoaring/</t>
  </si>
  <si>
    <t xml:space="preserve">SPIRIT</t>
  </si>
  <si>
    <t xml:space="preserve">Spirit Soaring (motorglider rides)</t>
  </si>
  <si>
    <t xml:space="preserve">Commercial</t>
  </si>
  <si>
    <t xml:space="preserve">Knox County (RKD)</t>
  </si>
  <si>
    <t xml:space="preserve">Owls Head, ME</t>
  </si>
  <si>
    <t xml:space="preserve">195 mi; 3:15 typical, 3:45-4:00 Fri</t>
  </si>
  <si>
    <t xml:space="preserve">Coastal</t>
  </si>
  <si>
    <t xml:space="preserve">Dave Miramant</t>
  </si>
  <si>
    <t xml:space="preserve">https://www.spiritsoaring.org/</t>
  </si>
  <si>
    <t xml:space="preserve">WURTS</t>
  </si>
  <si>
    <t xml:space="preserve">Wurtsboro Airport / Wurtsboro Flight Mgmt</t>
  </si>
  <si>
    <t xml:space="preserve">NY/NJ/PA</t>
  </si>
  <si>
    <t xml:space="preserve">Wurtsboro-Sullivan County (N82)</t>
  </si>
  <si>
    <t xml:space="preserve">Wurtsboro, NY</t>
  </si>
  <si>
    <t xml:space="preserve">216 mi; 3:30 typical, 4:00-4:15 Fri</t>
  </si>
  <si>
    <t xml:space="preserve">Ridge (Shawangunk), thermal</t>
  </si>
  <si>
    <t xml:space="preserve">7 days, year-round (weather)</t>
  </si>
  <si>
    <t xml:space="preserve">(845) 888-2791</t>
  </si>
  <si>
    <t xml:space="preserve">info@wurtsboroairport.com</t>
  </si>
  <si>
    <t xml:space="preserve">https://www.wurtsboroairport.com/</t>
  </si>
  <si>
    <t xml:space="preserve">VANSANT</t>
  </si>
  <si>
    <t xml:space="preserve">Van Sant Airport / Bird of Paradise</t>
  </si>
  <si>
    <t xml:space="preserve">Van Sant (9N1)</t>
  </si>
  <si>
    <t xml:space="preserve">Erwinna, PA</t>
  </si>
  <si>
    <t xml:space="preserve">Fly Friday night</t>
  </si>
  <si>
    <t xml:space="preserve">PHL + 1:15 (drive 5:00+)</t>
  </si>
  <si>
    <t xml:space="preserve">Thermal, some ridge</t>
  </si>
  <si>
    <t xml:space="preserve">Tue-Sun 9-4, year-round</t>
  </si>
  <si>
    <t xml:space="preserve">(610) 847-1119</t>
  </si>
  <si>
    <t xml:space="preserve">Office (610) 847-8494</t>
  </si>
  <si>
    <t xml:space="preserve">https://vansantairport.com/</t>
  </si>
  <si>
    <t xml:space="preserve">HHSC</t>
  </si>
  <si>
    <t xml:space="preserve">Harris Hill Soaring Corp</t>
  </si>
  <si>
    <t xml:space="preserve">Harris Hill Gliderport (4NY8)</t>
  </si>
  <si>
    <t xml:space="preserve">Elmira, NY</t>
  </si>
  <si>
    <t xml:space="preserve">5:30 drive; or SYR + 1:45 / BUF + 2:30</t>
  </si>
  <si>
    <t xml:space="preserve">Ridge, thermal</t>
  </si>
  <si>
    <t xml:space="preserve">~Apr-Oct; weekends (daily Jun-mid Aug)</t>
  </si>
  <si>
    <t xml:space="preserve">(607) 734-0641</t>
  </si>
  <si>
    <t xml:space="preserve">newmember@ / training@harrishillsoaring.org</t>
  </si>
  <si>
    <t xml:space="preserve">https://harrishillsoaring.org/</t>
  </si>
  <si>
    <t xml:space="preserve">PSA</t>
  </si>
  <si>
    <t xml:space="preserve">Pittsburgh Soaring Association</t>
  </si>
  <si>
    <t xml:space="preserve">Greene County (WAY)</t>
  </si>
  <si>
    <t xml:space="preserve">Waynesburg, PA</t>
  </si>
  <si>
    <t xml:space="preserve">PIT + ~1:00</t>
  </si>
  <si>
    <t xml:space="preserve">Weekends</t>
  </si>
  <si>
    <t xml:space="preserve">http://pghsoar.org/</t>
  </si>
  <si>
    <t xml:space="preserve">ASA</t>
  </si>
  <si>
    <t xml:space="preserve">Adirondack Soaring Association</t>
  </si>
  <si>
    <t xml:space="preserve">Saratoga County (5B2)</t>
  </si>
  <si>
    <t xml:space="preserve">Ballston Spa, NY</t>
  </si>
  <si>
    <t xml:space="preserve">193 mi; 3:15 typical, 3:45 Fri</t>
  </si>
  <si>
    <t xml:space="preserve">Every weekend + some weekdays, Apr-Nov</t>
  </si>
  <si>
    <t xml:space="preserve">(518) 693-6849</t>
  </si>
  <si>
    <t xml:space="preserve">(web)</t>
  </si>
  <si>
    <t xml:space="preserve">Eric Davenport (pres.); Tim Hanke (dir. of ops)</t>
  </si>
  <si>
    <t xml:space="preserve">https://www.adirondacksoaring.com/</t>
  </si>
  <si>
    <t xml:space="preserve">ACA</t>
  </si>
  <si>
    <t xml:space="preserve">Aero Club Albatross</t>
  </si>
  <si>
    <t xml:space="preserve">Blairstown (1N7) + Wurtsboro (N82)</t>
  </si>
  <si>
    <t xml:space="preserve">Blairstown, NJ</t>
  </si>
  <si>
    <t xml:space="preserve">Out of range</t>
  </si>
  <si>
    <t xml:space="preserve">266 mi to Blairstown; 4:45-5:00 Fri (Wurtsboro ~4:00)</t>
  </si>
  <si>
    <t xml:space="preserve">Ridge (Kittatinny, Shawangunk), thermal</t>
  </si>
  <si>
    <t xml:space="preserve">Wurtsboro 7 days; Blairstown weekends</t>
  </si>
  <si>
    <t xml:space="preserve">(973) 294-5146</t>
  </si>
  <si>
    <t xml:space="preserve">AeroClubAlbatross@gmail.com</t>
  </si>
  <si>
    <t xml:space="preserve">https://www.aeroclubalbatross.org/</t>
  </si>
  <si>
    <t xml:space="preserve">FLSC</t>
  </si>
  <si>
    <t xml:space="preserve">Finger Lakes Soaring Club</t>
  </si>
  <si>
    <t xml:space="preserve">Dansville (DSV)</t>
  </si>
  <si>
    <t xml:space="preserve">Dansville, NY</t>
  </si>
  <si>
    <t xml:space="preserve">BUF/ROC + ~1:00</t>
  </si>
  <si>
    <t xml:space="preserve">Weekends 9-5, Apr-Nov</t>
  </si>
  <si>
    <t xml:space="preserve">(585) 335-5849</t>
  </si>
  <si>
    <t xml:space="preserve">contact@flsc.org</t>
  </si>
  <si>
    <t xml:space="preserve">Rick Lafford (airport mgr, 585-444-3612)</t>
  </si>
  <si>
    <t xml:space="preserve">https://flsc.org/</t>
  </si>
  <si>
    <t xml:space="preserve">JRS</t>
  </si>
  <si>
    <t xml:space="preserve">Jersey Ridge Soaring</t>
  </si>
  <si>
    <t xml:space="preserve">Blairstown (1N7)</t>
  </si>
  <si>
    <t xml:space="preserve">266 mi; 4:15 typical, 4:45-5:00 Fri; or PHL + 1:45</t>
  </si>
  <si>
    <t xml:space="preserve">Ridge (Kittatinny), thermal</t>
  </si>
  <si>
    <t xml:space="preserve">Weekends, year-round; tows 7 days</t>
  </si>
  <si>
    <t xml:space="preserve">(908) 362-1239</t>
  </si>
  <si>
    <t xml:space="preserve">info@jerseyridgesoaring.com</t>
  </si>
  <si>
    <t xml:space="preserve">Kevin &amp; Brenda Martin (owners); Michael Friedman (chief instructor)</t>
  </si>
  <si>
    <t xml:space="preserve">https://www.jerseyridgesoaring.com/</t>
  </si>
  <si>
    <t xml:space="preserve">BSA</t>
  </si>
  <si>
    <t xml:space="preserve">Brandywine Soaring Association</t>
  </si>
  <si>
    <t xml:space="preserve">New Garden (N57)</t>
  </si>
  <si>
    <t xml:space="preserve">Toughkenamon, PA</t>
  </si>
  <si>
    <t xml:space="preserve">PHL + ~1:00</t>
  </si>
  <si>
    <t xml:space="preserve">Wed + weekends, May-Oct</t>
  </si>
  <si>
    <t xml:space="preserve">membership@brandywinesoaring.org</t>
  </si>
  <si>
    <t xml:space="preserve">https://www.brandywinesoaring.org/</t>
  </si>
  <si>
    <t xml:space="preserve">VSC</t>
  </si>
  <si>
    <t xml:space="preserve">Valley Soaring Club</t>
  </si>
  <si>
    <t xml:space="preserve">Randall (06N)</t>
  </si>
  <si>
    <t xml:space="preserve">Middletown, NY</t>
  </si>
  <si>
    <t xml:space="preserve">~3:30 typical, ~4:00 Fri</t>
  </si>
  <si>
    <t xml:space="preserve">Weekends + Mon holidays, Apr-Dec</t>
  </si>
  <si>
    <t xml:space="preserve">(845) 564-2054</t>
  </si>
  <si>
    <t xml:space="preserve">(login-only site)</t>
  </si>
  <si>
    <t xml:space="preserve">PGC</t>
  </si>
  <si>
    <t xml:space="preserve">Philadelphia Glider Council</t>
  </si>
  <si>
    <t xml:space="preserve">Philadelphia Gliderport (3PA2)</t>
  </si>
  <si>
    <t xml:space="preserve">Hilltown, PA</t>
  </si>
  <si>
    <t xml:space="preserve">215-334-5980</t>
  </si>
  <si>
    <t xml:space="preserve">https://pgcsoaring.org/</t>
  </si>
  <si>
    <t xml:space="preserve">TIGERS</t>
  </si>
  <si>
    <t xml:space="preserve">Soaring Tigers</t>
  </si>
  <si>
    <t xml:space="preserve">PHL + 1:15</t>
  </si>
  <si>
    <t xml:space="preserve">Wed-Sun</t>
  </si>
  <si>
    <t xml:space="preserve">https://soaringtigers.org/</t>
  </si>
  <si>
    <t xml:space="preserve">LISA</t>
  </si>
  <si>
    <t xml:space="preserve">Long Island Soaring Association</t>
  </si>
  <si>
    <t xml:space="preserve">Brookhaven Calabro (HWV)</t>
  </si>
  <si>
    <t xml:space="preserve">Shirley, NY</t>
  </si>
  <si>
    <t xml:space="preserve">4+ h</t>
  </si>
  <si>
    <t xml:space="preserve">Thermal (flat coastal)</t>
  </si>
  <si>
    <t xml:space="preserve">Weekends, some Wed</t>
  </si>
  <si>
    <t xml:space="preserve">631-578-8596</t>
  </si>
  <si>
    <t xml:space="preserve">https://longislandsoaring.com/</t>
  </si>
  <si>
    <t xml:space="preserve">SKYLINE</t>
  </si>
  <si>
    <t xml:space="preserve">Skyline Soaring Club</t>
  </si>
  <si>
    <t xml:space="preserve">Mid-Atlantic</t>
  </si>
  <si>
    <t xml:space="preserve">Front Royal (FRR); at Petersburg WV (W99) from 16 Sep 2026</t>
  </si>
  <si>
    <t xml:space="preserve">Front Royal, VA</t>
  </si>
  <si>
    <t xml:space="preserve">IAD + ~1:00 (Petersburg ~2:45)</t>
  </si>
  <si>
    <t xml:space="preserve">Thermal, ridge; wave at Petersburg</t>
  </si>
  <si>
    <t xml:space="preserve">Weekends + some weekdays</t>
  </si>
  <si>
    <t xml:space="preserve">welcome@skylinesoaring.org</t>
  </si>
  <si>
    <t xml:space="preserve">https://www.skylinesoaring.org/</t>
  </si>
  <si>
    <t xml:space="preserve">BRSS</t>
  </si>
  <si>
    <t xml:space="preserve">Blue Ridge Soaring Society</t>
  </si>
  <si>
    <t xml:space="preserve">New Castle (VA85)</t>
  </si>
  <si>
    <t xml:space="preserve">New Castle, VA</t>
  </si>
  <si>
    <t xml:space="preserve">IAD/CLT/RDU + 3:30-4:00</t>
  </si>
  <si>
    <t xml:space="preserve">Ridge, wave (to 23,000 ft), thermal</t>
  </si>
  <si>
    <t xml:space="preserve">540-864-5800 (airport owner)</t>
  </si>
  <si>
    <t xml:space="preserve">Lanier Frantz (airport owner)</t>
  </si>
  <si>
    <t xml:space="preserve">https://www.brss.net/</t>
  </si>
  <si>
    <t xml:space="preserve">SVS</t>
  </si>
  <si>
    <t xml:space="preserve">Shenandoah Valley Soaring</t>
  </si>
  <si>
    <t xml:space="preserve">Rockfish Gliderport (VG22)</t>
  </si>
  <si>
    <t xml:space="preserve">Nellysford, VA</t>
  </si>
  <si>
    <t xml:space="preserve">IAD/DCA + ~2:45-3:00</t>
  </si>
  <si>
    <t xml:space="preserve">Thermal, ridge</t>
  </si>
  <si>
    <t xml:space="preserve">Weekends, year-round</t>
  </si>
  <si>
    <t xml:space="preserve">https://www.svsoar.org/</t>
  </si>
  <si>
    <t xml:space="preserve">MASA</t>
  </si>
  <si>
    <t xml:space="preserve">Mid-Atlantic Soaring Association</t>
  </si>
  <si>
    <t xml:space="preserve">Fairfield (W73)</t>
  </si>
  <si>
    <t xml:space="preserve">Fairfield, PA</t>
  </si>
  <si>
    <t xml:space="preserve">BWI/IAD + ~1:30</t>
  </si>
  <si>
    <t xml:space="preserve">Mar-Nov</t>
  </si>
  <si>
    <t xml:space="preserve">717-642-9907 (airport)</t>
  </si>
  <si>
    <t xml:space="preserve">joinus@midatlanticsoaring.org</t>
  </si>
  <si>
    <t xml:space="preserve">Mark Philip (airport mgr)</t>
  </si>
  <si>
    <t xml:space="preserve">https://midatlanticsoaring.org/</t>
  </si>
  <si>
    <t xml:space="preserve">ESC</t>
  </si>
  <si>
    <t xml:space="preserve">Eastern Soaring Center</t>
  </si>
  <si>
    <t xml:space="preserve">Grant County (W99)</t>
  </si>
  <si>
    <t xml:space="preserve">Petersburg, WV</t>
  </si>
  <si>
    <t xml:space="preserve">IAD + ~2:45</t>
  </si>
  <si>
    <t xml:space="preserve">Thermal, ridge, wave (FL230 window)</t>
  </si>
  <si>
    <t xml:space="preserve">Closed for 2026</t>
  </si>
  <si>
    <t xml:space="preserve">304-851-4106</t>
  </si>
  <si>
    <t xml:space="preserve">gliding@EasternSoaringCenter.com</t>
  </si>
  <si>
    <t xml:space="preserve">Brian Collins (owner, DPE)</t>
  </si>
  <si>
    <t xml:space="preserve">https://www.easternsoaringcenter.com/</t>
  </si>
  <si>
    <t xml:space="preserve">TSS</t>
  </si>
  <si>
    <t xml:space="preserve">Tidewater Soaring Society</t>
  </si>
  <si>
    <t xml:space="preserve">Garner (3VA8)</t>
  </si>
  <si>
    <t xml:space="preserve">Windsor, VA</t>
  </si>
  <si>
    <t xml:space="preserve">RDU + 2:45</t>
  </si>
  <si>
    <t xml:space="preserve">757-377-6174 (landing permission)</t>
  </si>
  <si>
    <t xml:space="preserve">W.E. Laine Jr.</t>
  </si>
  <si>
    <t xml:space="preserve">https://tss.fyi/</t>
  </si>
  <si>
    <t xml:space="preserve">CHIL</t>
  </si>
  <si>
    <t xml:space="preserve">Chilhowee Gliderport</t>
  </si>
  <si>
    <t xml:space="preserve">Southeast</t>
  </si>
  <si>
    <t xml:space="preserve">Chilhowee (92A)</t>
  </si>
  <si>
    <t xml:space="preserve">Benton, TN</t>
  </si>
  <si>
    <t xml:space="preserve">ATL + 2:15; BNA + 3:00</t>
  </si>
  <si>
    <t xml:space="preserve">Thermal (spring-fall), ridge (fall-spring), occasional wave</t>
  </si>
  <si>
    <t xml:space="preserve">Fri-Sun 11:00-sunset, year-round</t>
  </si>
  <si>
    <t xml:space="preserve">423-338-2000 (cell 423-506-9015)</t>
  </si>
  <si>
    <t xml:space="preserve">info@chilhowee.com</t>
  </si>
  <si>
    <t xml:space="preserve">Sarah Arnold (bookings)</t>
  </si>
  <si>
    <t xml:space="preserve">https://www.chilhowee.com/</t>
  </si>
  <si>
    <t xml:space="preserve">BHS</t>
  </si>
  <si>
    <t xml:space="preserve">Bermuda High Soaring</t>
  </si>
  <si>
    <t xml:space="preserve">Commercial + club</t>
  </si>
  <si>
    <t xml:space="preserve">Bermuda High Gliderport (SC79)</t>
  </si>
  <si>
    <t xml:space="preserve">Jefferson, SC</t>
  </si>
  <si>
    <t xml:space="preserve">CLT + 1:15</t>
  </si>
  <si>
    <t xml:space="preserve">Weekends 10-5, year-round</t>
  </si>
  <si>
    <t xml:space="preserve">(803) 475-7627</t>
  </si>
  <si>
    <t xml:space="preserve">Jayne Ewing Reid; Frank Reid</t>
  </si>
  <si>
    <t xml:space="preserve">https://bermudahighsoaring.com/</t>
  </si>
  <si>
    <t xml:space="preserve">CAROLINA</t>
  </si>
  <si>
    <t xml:space="preserve">Carolina Soaring Association</t>
  </si>
  <si>
    <t xml:space="preserve">Spartanburg Downtown (SPA)</t>
  </si>
  <si>
    <t xml:space="preserve">Spartanburg, SC</t>
  </si>
  <si>
    <t xml:space="preserve">864-256-1741</t>
  </si>
  <si>
    <t xml:space="preserve">https://carolinasoaring.org/</t>
  </si>
  <si>
    <t xml:space="preserve">NCSA</t>
  </si>
  <si>
    <t xml:space="preserve">North Carolina Soaring Association</t>
  </si>
  <si>
    <t xml:space="preserve">Crooked Creek (7NC5)</t>
  </si>
  <si>
    <t xml:space="preserve">Bunn, NC</t>
  </si>
  <si>
    <t xml:space="preserve">RDU + 0:45</t>
  </si>
  <si>
    <t xml:space="preserve">Every weekend day</t>
  </si>
  <si>
    <t xml:space="preserve">919-215-1356 (field owner)</t>
  </si>
  <si>
    <t xml:space="preserve">info@soaringnc.org</t>
  </si>
  <si>
    <t xml:space="preserve">Frank Swett</t>
  </si>
  <si>
    <t xml:space="preserve">https://soaringnc.org/</t>
  </si>
  <si>
    <t xml:space="preserve">MGSA</t>
  </si>
  <si>
    <t xml:space="preserve">Mid-Georgia Soaring Association</t>
  </si>
  <si>
    <t xml:space="preserve">Monroe (D73)</t>
  </si>
  <si>
    <t xml:space="preserve">Monroe, GA</t>
  </si>
  <si>
    <t xml:space="preserve">ATL + 1:00</t>
  </si>
  <si>
    <t xml:space="preserve">Most weekends</t>
  </si>
  <si>
    <t xml:space="preserve">membershipinfo@soar-mgsa.org</t>
  </si>
  <si>
    <t xml:space="preserve">https://www.soar-mgsa.org/</t>
  </si>
  <si>
    <t xml:space="preserve">EAGLEVILLE</t>
  </si>
  <si>
    <t xml:space="preserve">Eagleville Soaring Club</t>
  </si>
  <si>
    <t xml:space="preserve">Puckett Gliderport (50M)</t>
  </si>
  <si>
    <t xml:space="preserve">Eagleville, TN</t>
  </si>
  <si>
    <t xml:space="preserve">BNA + 0:45</t>
  </si>
  <si>
    <t xml:space="preserve">Most weekends, year-round</t>
  </si>
  <si>
    <t xml:space="preserve">800-306-6690</t>
  </si>
  <si>
    <t xml:space="preserve">info@eaglevillesoaring.org</t>
  </si>
  <si>
    <t xml:space="preserve">https://eaglevillesoaring.org/</t>
  </si>
  <si>
    <t xml:space="preserve">SANDHILL</t>
  </si>
  <si>
    <t xml:space="preserve">Sandhill Soaring Club</t>
  </si>
  <si>
    <t xml:space="preserve">Midwest</t>
  </si>
  <si>
    <t xml:space="preserve">Richmond Field (69G)</t>
  </si>
  <si>
    <t xml:space="preserve">Gregory, MI</t>
  </si>
  <si>
    <t xml:space="preserve">DTW + 1:00</t>
  </si>
  <si>
    <t xml:space="preserve">Weekends Apr-Nov + weekdays</t>
  </si>
  <si>
    <t xml:space="preserve">734-498-2075 (field mgr)</t>
  </si>
  <si>
    <t xml:space="preserve">Michael Campbell (field mgr)</t>
  </si>
  <si>
    <t xml:space="preserve">https://www.sandhillsoaring.org/</t>
  </si>
  <si>
    <t xml:space="preserve">SKYSOAR</t>
  </si>
  <si>
    <t xml:space="preserve">Sky Soaring</t>
  </si>
  <si>
    <t xml:space="preserve">Sky Soaring (55LL)</t>
  </si>
  <si>
    <t xml:space="preserve">Hampshire, IL</t>
  </si>
  <si>
    <t xml:space="preserve">ORD + 0:50</t>
  </si>
  <si>
    <t xml:space="preserve">Mid-Apr-Oct</t>
  </si>
  <si>
    <t xml:space="preserve">(847) 683-7627</t>
  </si>
  <si>
    <t xml:space="preserve">https://skysoaring.com/</t>
  </si>
  <si>
    <t xml:space="preserve">CGC</t>
  </si>
  <si>
    <t xml:space="preserve">Chicago Glider Club</t>
  </si>
  <si>
    <t xml:space="preserve">Chicago Glider Club (IL59)</t>
  </si>
  <si>
    <t xml:space="preserve">Minooka, IL</t>
  </si>
  <si>
    <t xml:space="preserve">MDW + 0:50</t>
  </si>
  <si>
    <t xml:space="preserve">Apr-Oct</t>
  </si>
  <si>
    <t xml:space="preserve">630-854-9456</t>
  </si>
  <si>
    <t xml:space="preserve">Ron Ridenour (manager)</t>
  </si>
  <si>
    <t xml:space="preserve">http://www.chicagogliderclub.org/</t>
  </si>
  <si>
    <t xml:space="preserve">CCSC</t>
  </si>
  <si>
    <t xml:space="preserve">Caesar Creek Soaring Club</t>
  </si>
  <si>
    <t xml:space="preserve">Caesar Creek Gliderport (2OH9)</t>
  </si>
  <si>
    <t xml:space="preserve">Waynesville, OH</t>
  </si>
  <si>
    <t xml:space="preserve">CMH + 1:15</t>
  </si>
  <si>
    <t xml:space="preserve">Weekends + Wed, year-round</t>
  </si>
  <si>
    <t xml:space="preserve">513-932-7627</t>
  </si>
  <si>
    <t xml:space="preserve">ccsc@soarccsc.com</t>
  </si>
  <si>
    <t xml:space="preserve">https://www.soarccsc.com/</t>
  </si>
  <si>
    <t xml:space="preserve">SEMINOLE</t>
  </si>
  <si>
    <t xml:space="preserve">Seminole-Lake Gliderport</t>
  </si>
  <si>
    <t xml:space="preserve">Florida</t>
  </si>
  <si>
    <t xml:space="preserve">Seminole Lake Gliderport (6FL0)</t>
  </si>
  <si>
    <t xml:space="preserve">Clermont, FL</t>
  </si>
  <si>
    <t xml:space="preserve">MCO + 0:45</t>
  </si>
  <si>
    <t xml:space="preserve">Thermal, sea-breeze convergence; best Mar-May</t>
  </si>
  <si>
    <t xml:space="preserve">Tue-Sun (winter), Wed-Sun (summer)</t>
  </si>
  <si>
    <t xml:space="preserve">352-394-5450</t>
  </si>
  <si>
    <t xml:space="preserve">office@soarfl.com</t>
  </si>
  <si>
    <t xml:space="preserve">https://www.soarfl.com/</t>
  </si>
  <si>
    <t xml:space="preserve">MIAMI</t>
  </si>
  <si>
    <t xml:space="preserve">Miami Gliders</t>
  </si>
  <si>
    <t xml:space="preserve">Homestead General (X51)</t>
  </si>
  <si>
    <t xml:space="preserve">Homestead, FL</t>
  </si>
  <si>
    <t xml:space="preserve">MIA + 0:50; FLL + 1:15</t>
  </si>
  <si>
    <t xml:space="preserve">Call</t>
  </si>
  <si>
    <t xml:space="preserve">(786) 243-7640</t>
  </si>
  <si>
    <t xml:space="preserve">fly@miamigliders.com</t>
  </si>
  <si>
    <t xml:space="preserve">https://www.miamigliders.com/</t>
  </si>
  <si>
    <t xml:space="preserve">TBSS</t>
  </si>
  <si>
    <t xml:space="preserve">Tampa Bay Soaring Society</t>
  </si>
  <si>
    <t xml:space="preserve">Zephyrhills (ZPH)</t>
  </si>
  <si>
    <t xml:space="preserve">Zephyrhills, FL</t>
  </si>
  <si>
    <t xml:space="preserve">TPA + 0:45</t>
  </si>
  <si>
    <t xml:space="preserve">Wed, Sat, Sun, year-round</t>
  </si>
  <si>
    <t xml:space="preserve">813-780-0031</t>
  </si>
  <si>
    <t xml:space="preserve">https://www.tampabaysoaring.com/</t>
  </si>
  <si>
    <t xml:space="preserve">TSA</t>
  </si>
  <si>
    <t xml:space="preserve">Texas Soaring Association</t>
  </si>
  <si>
    <t xml:space="preserve">Texas</t>
  </si>
  <si>
    <t xml:space="preserve">TSA Gliderport (TA11)</t>
  </si>
  <si>
    <t xml:space="preserve">Midlothian, TX</t>
  </si>
  <si>
    <t xml:space="preserve">DFW + 0:50 (Tier C fares)</t>
  </si>
  <si>
    <t xml:space="preserve">Thermal; best Apr-Sep</t>
  </si>
  <si>
    <t xml:space="preserve">Thu, Sat, Sun, year-round</t>
  </si>
  <si>
    <t xml:space="preserve">972-775-4234</t>
  </si>
  <si>
    <t xml:space="preserve">Marco (membership director)</t>
  </si>
  <si>
    <t xml:space="preserve">https://texassoaring.org/</t>
  </si>
  <si>
    <t xml:space="preserve">SCH</t>
  </si>
  <si>
    <t xml:space="preserve">Soaring Club of Houston</t>
  </si>
  <si>
    <t xml:space="preserve">SCH Gliderport (89TA)</t>
  </si>
  <si>
    <t xml:space="preserve">Waller, TX</t>
  </si>
  <si>
    <t xml:space="preserve">IAH + 1:00</t>
  </si>
  <si>
    <t xml:space="preserve">Sat-Sun</t>
  </si>
  <si>
    <t xml:space="preserve">https://sites.google.com/site/soaringclubofhouston/</t>
  </si>
  <si>
    <t xml:space="preserve">FLF</t>
  </si>
  <si>
    <t xml:space="preserve">Fault Line Flyers</t>
  </si>
  <si>
    <t xml:space="preserve">FLF field (private)</t>
  </si>
  <si>
    <t xml:space="preserve">Briggs/Bertram, TX</t>
  </si>
  <si>
    <t xml:space="preserve">AUS + 1:15</t>
  </si>
  <si>
    <t xml:space="preserve">Every weekend</t>
  </si>
  <si>
    <t xml:space="preserve">(512) 489-0460</t>
  </si>
  <si>
    <t xml:space="preserve">soar.flf@gmail.com</t>
  </si>
  <si>
    <t xml:space="preserve">Bins Ely (president)</t>
  </si>
  <si>
    <t xml:space="preserve">https://www.faultlineflyers.com/</t>
  </si>
  <si>
    <t xml:space="preserve">MHG</t>
  </si>
  <si>
    <t xml:space="preserve">Mile High Gliding</t>
  </si>
  <si>
    <t xml:space="preserve">Mountain West</t>
  </si>
  <si>
    <t xml:space="preserve">Boulder Municipal (BDU)</t>
  </si>
  <si>
    <t xml:space="preserve">Boulder, CO</t>
  </si>
  <si>
    <t xml:space="preserve">DEN + 0:45</t>
  </si>
  <si>
    <t xml:space="preserve">Mountain thermal; wave Nov-Mar</t>
  </si>
  <si>
    <t xml:space="preserve">Wed-Sun year-round</t>
  </si>
  <si>
    <t xml:space="preserve">(303) 527-1122</t>
  </si>
  <si>
    <t xml:space="preserve">Andrew McKenna</t>
  </si>
  <si>
    <t xml:space="preserve">https://www.milehighgliding.com/</t>
  </si>
  <si>
    <t xml:space="preserve">SSB</t>
  </si>
  <si>
    <t xml:space="preserve">Soaring Society of Boulder</t>
  </si>
  <si>
    <t xml:space="preserve">Mountain thermal, wave</t>
  </si>
  <si>
    <t xml:space="preserve">Year-round</t>
  </si>
  <si>
    <t xml:space="preserve">https://www.soarboulder.org/</t>
  </si>
  <si>
    <t xml:space="preserve">USA</t>
  </si>
  <si>
    <t xml:space="preserve">Utah Soaring Association / Soar Utah</t>
  </si>
  <si>
    <t xml:space="preserve">Club + commercial tow</t>
  </si>
  <si>
    <t xml:space="preserve">Heber Valley (HCR)</t>
  </si>
  <si>
    <t xml:space="preserve">Heber City, UT</t>
  </si>
  <si>
    <t xml:space="preserve">SLC + 0:55 (Tier C fares)</t>
  </si>
  <si>
    <t xml:space="preserve">High thermal, wave; May-Sep</t>
  </si>
  <si>
    <t xml:space="preserve">Seasonal</t>
  </si>
  <si>
    <t xml:space="preserve">801-979-8482 (CFI Lynn Alley)</t>
  </si>
  <si>
    <t xml:space="preserve">Lynn Alley (CFI); Dave Robinson, Soar Utah 801-580-9310</t>
  </si>
  <si>
    <t xml:space="preserve">https://utahsoaring.org/</t>
  </si>
  <si>
    <t xml:space="preserve">AZS</t>
  </si>
  <si>
    <t xml:space="preserve">Arizona Soaring (Estrella Sailport)</t>
  </si>
  <si>
    <t xml:space="preserve">Southwest</t>
  </si>
  <si>
    <t xml:space="preserve">Estrella Sailport (E68)</t>
  </si>
  <si>
    <t xml:space="preserve">Maricopa, AZ</t>
  </si>
  <si>
    <t xml:space="preserve">PHX + 0:45 (Tier C fares)</t>
  </si>
  <si>
    <t xml:space="preserve">Desert thermal; best Oct-Apr</t>
  </si>
  <si>
    <t xml:space="preserve">Every day, year-round (short July break)</t>
  </si>
  <si>
    <t xml:space="preserve">(520) 568-2318</t>
  </si>
  <si>
    <t xml:space="preserve">info@azsoaring.com</t>
  </si>
  <si>
    <t xml:space="preserve">Jason (jason@azsoaring.com)</t>
  </si>
  <si>
    <t xml:space="preserve">https://azsoaring.com/</t>
  </si>
  <si>
    <t xml:space="preserve">LVVSA</t>
  </si>
  <si>
    <t xml:space="preserve">Las Vegas Valley Soaring Association</t>
  </si>
  <si>
    <t xml:space="preserve">Jean (0L7)</t>
  </si>
  <si>
    <t xml:space="preserve">Jean, NV</t>
  </si>
  <si>
    <t xml:space="preserve">LAS + 0:30 (Tier C fares)</t>
  </si>
  <si>
    <t xml:space="preserve">Thermal Mar-Nov; wave winter</t>
  </si>
  <si>
    <t xml:space="preserve">702-267-7499 (rides)</t>
  </si>
  <si>
    <t xml:space="preserve">https://www.lvvsa.org/</t>
  </si>
  <si>
    <t xml:space="preserve">MERLIN</t>
  </si>
  <si>
    <t xml:space="preserve">Merlin Aviation</t>
  </si>
  <si>
    <t xml:space="preserve">Moriarty (0E0)</t>
  </si>
  <si>
    <t xml:space="preserve">Moriarty, NM</t>
  </si>
  <si>
    <t xml:space="preserve">ABQ + 0:45 (connection likely)</t>
  </si>
  <si>
    <t xml:space="preserve">Very strong thermal</t>
  </si>
  <si>
    <t xml:space="preserve">(505) 226-5556</t>
  </si>
  <si>
    <t xml:space="preserve">info@merlinaviation.net</t>
  </si>
  <si>
    <t xml:space="preserve">https://www.merlinaviation.net/</t>
  </si>
  <si>
    <t xml:space="preserve">SOARNV</t>
  </si>
  <si>
    <t xml:space="preserve">SoaringNV</t>
  </si>
  <si>
    <t xml:space="preserve">Minden-Tahoe (MEV)</t>
  </si>
  <si>
    <t xml:space="preserve">Minden, NV</t>
  </si>
  <si>
    <t xml:space="preserve">No BOS nonstop to RNO</t>
  </si>
  <si>
    <t xml:space="preserve">Wave, thermal (world class)</t>
  </si>
  <si>
    <t xml:space="preserve">7 days, year-round</t>
  </si>
  <si>
    <t xml:space="preserve">(775) 790-8041</t>
  </si>
  <si>
    <t xml:space="preserve">https://soaringnv.com/</t>
  </si>
  <si>
    <t xml:space="preserve">Procedure for a visiting licensed pilot</t>
  </si>
  <si>
    <t xml:space="preserve">Costs</t>
  </si>
  <si>
    <t xml:space="preserve">Tall-pilot notes</t>
  </si>
  <si>
    <t xml:space="preserve">Sources</t>
  </si>
  <si>
    <t xml:space="preserve">Publishes non-member glider rental rates (only such operator in New England). Checkout, currency and insurance rules not published (unverified): expect dual checkout in PW-6 or 2-33 plus site briefing. Ask whether a documented checkout stays valid for later visits.</t>
  </si>
  <si>
    <t xml:space="preserve">Non-member rental: PW-6U $169/h, 2-33 $85/h, 1-26E $79/h (20 min min). Non-member tow $28 + $3.30/100 ft (2,000 ft = $94). Instruction $59-86/h. Membership $875 share + $750/yr (YP 22-35: $175/yr).</t>
  </si>
  <si>
    <t xml:space="preserve">2-33 roomy; PW-6 front seat fairly roomy (sit-test).</t>
  </si>
  <si>
    <t xml:space="preserve">https://sugarbushsoaring.com/doc/rate-sheet-2026.pdf ; https://sugarbushsoaring.com/about-us/fleet-aircraft</t>
  </si>
  <si>
    <t xml:space="preserve">Members only; no rental to non-members. Once rated: checkout in each two-seater (front and back seat) and a cockpit checkout before each single-seater. Club flights limited to 1 h. Visiting private owners only: Region 1 owners pay member tow rates; others $15/day temporary membership + $60 flat tow, max 5 visits/yr, SSA required.</t>
  </si>
  <si>
    <t xml:space="preserve">Regular $600 initiation (over 2 yr) + $750/yr; 90-day trial membership exists. Tow $14 hookup + $1.60/100 ft (min 1,200 ft). Instruction free.</t>
  </si>
  <si>
    <t xml:space="preserve">You do not fit the ASK-21. Sit-test the 1-34, L-23 and ASW-19 now; the 2-33 is roomy.</t>
  </si>
  <si>
    <t xml:space="preserve">https://www.soargbsc.net/index.php/gbsc_fleet ; https://www.soargbsc.net/fee_schedule</t>
  </si>
  <si>
    <t xml:space="preserve">No rental without membership. Advertises a short-term reduced-rate 'Limited membership'; $150 ride includes a 30-day limited membership with follow-up flights $50. Terms for rated pilots unverified: email ahead.</t>
  </si>
  <si>
    <t xml:space="preserve">Quarterly dues (amount unpublished); instruction free; club says average flight under $60.</t>
  </si>
  <si>
    <t xml:space="preserve">L-13 Blanik and 2-33 are roomy types.</t>
  </si>
  <si>
    <t xml:space="preserve">http://www.soarmohawk.com/membership/ ; FAA registry</t>
  </si>
  <si>
    <t xml:space="preserve">No visitor rental; full-season membership needed for solo. Trial membership ($100/flight, one-time) and temporary student membership exist. SSA required. Cottages on field.</t>
  </si>
  <si>
    <t xml:space="preserve">$450 initiation + $450/yr. Tow $18 + $10/1,000 ft. Glider use appears included in dues. Instruction free.</t>
  </si>
  <si>
    <t xml:space="preserve">L-23 Super Blanik and 2-33 are good tall-pilot types.</t>
  </si>
  <si>
    <t xml:space="preserve">https://flypmsc.org/ ; 2025 rates Google Doc</t>
  </si>
  <si>
    <t xml:space="preserve">No visitor rental. Join (cheap), then checkout; short-notice flying once a member.</t>
  </si>
  <si>
    <t xml:space="preserve">$300 initiation + $300/yr + SSA. Gliders $10/flight. Tow $30 pattern to $70 at 5,000 ft. Instruction free.</t>
  </si>
  <si>
    <t xml:space="preserve">2-33 and 1-34 likely fit.</t>
  </si>
  <si>
    <t xml:space="preserve">https://www.flynesa.com/about-us/our-fleet/ ; 2025 fee schedule PDF</t>
  </si>
  <si>
    <t xml:space="preserve">Visitor rules unverified (membership pages blocked). Assume membership needed; call. Six CFIGs, first come first served.</t>
  </si>
  <si>
    <t xml:space="preserve">Rides $120 (3,000 ft) / $200 (5,000 ft). Membership rates not retrieved.</t>
  </si>
  <si>
    <t xml:space="preserve">Grob 103 Twin Astir is your best two-seat bet here; L-23 and 2-33 roomy.</t>
  </si>
  <si>
    <t xml:space="preserve">http://www.franconiasoaring.org/ ; FAA registry</t>
  </si>
  <si>
    <t xml:space="preserve">Must join; terms unpublished. Short of CFIGs and tow pilots.</t>
  </si>
  <si>
    <t xml:space="preserve">Not published.</t>
  </si>
  <si>
    <t xml:space="preserve">FAQ: cannot accommodate anyone over 6 ft 1 in / 220 lb (written for passengers). Poor fit.</t>
  </si>
  <si>
    <t xml:space="preserve">https://www.ctsoaring.org/our-fleet ; https://www.ctsoaring.org/faq</t>
  </si>
  <si>
    <t xml:space="preserve">An event, not an operator. Fly your own club's gliders; oxygen and wave-window checkouts apply.</t>
  </si>
  <si>
    <t xml:space="preserve">Per club.</t>
  </si>
  <si>
    <t xml:space="preserve">Per club fleet.</t>
  </si>
  <si>
    <t xml:space="preserve">Website not updated since 2019; no club-registered gliders found. Status unknown.</t>
  </si>
  <si>
    <t xml:space="preserve">Facebook page</t>
  </si>
  <si>
    <t xml:space="preserve">Rides only in a Grob 109 motorglider; website no longer resolves. Not a rental option.</t>
  </si>
  <si>
    <t xml:space="preserve">Reviews to 2020</t>
  </si>
  <si>
    <t xml:space="preserve">Public commercial rental. Rental-requirements page could not be read: expect instructor checkout, possibly minimum hours. Do one checkout day before relying on short-notice trips; ask currency rule.</t>
  </si>
  <si>
    <t xml:space="preserve">Rental: Grob 103 $75/h, 2-33 $67/h, 1-26E $55/h. Tow to 2,500 ft $74.07, +$20/1,000 ft. Instruction $65-67/h.</t>
  </si>
  <si>
    <t xml:space="preserve">2-33 good; Grob 103 depends on proportions; 1-26 poor.</t>
  </si>
  <si>
    <t xml:space="preserve">https://www.wurtsboroairport.com/rates</t>
  </si>
  <si>
    <t xml:space="preserve">'Licensed glider pilots may also rent.' Checkout/currency rules not published; expect a checkout.</t>
  </si>
  <si>
    <t xml:space="preserve">Rental 2-33 $80/h, 2-32 $80/h + tows. Tow $50 (1,000) / $60 (2,000) / $65 (3,000) / $100 (5,000). Instruction $120 + tow.</t>
  </si>
  <si>
    <t xml:space="preserve">2-33 and 2-32 both roomy.</t>
  </si>
  <si>
    <t xml:space="preserve">https://vansantairport.com/rides-and-rental-prices/</t>
  </si>
  <si>
    <t xml:space="preserve">'Board approved guest' category: $20/day, rental $50/h. Email ahead for guest approval; checkout in 2-33, 1-34 or Duo Discus. Non-members: tows only.</t>
  </si>
  <si>
    <t xml:space="preserve">Guest $20/day; rental $50/h; tow $20 + $30/1,000 ft. Senior member $300 + $30/mo; rental $9-25/h.</t>
  </si>
  <si>
    <t xml:space="preserve">2-33 and Duo Discus good; ASK-21 no.</t>
  </si>
  <si>
    <t xml:space="preserve">https://harrishillsoaring.org/wp-content/uploads/2026/02/2026-rates.pdf</t>
  </si>
  <si>
    <t xml:space="preserve">'Temporary memberships are available for visiting pilots' (price unpublished).</t>
  </si>
  <si>
    <t xml:space="preserve">Rental $10/h; tow $25 + $5/1,000 ft; full $60/mo + ~$500 buy-in.</t>
  </si>
  <si>
    <t xml:space="preserve">Grob 102 and L-23 good.</t>
  </si>
  <si>
    <t xml:space="preserve">http://pghsoar.org/fly-with-us/</t>
  </si>
  <si>
    <t xml:space="preserve">Long-Distance membership (live 120+ mi away): full fleet access; book on Click N Glide. Board approval + SSA. Checkout Grob 103 then Grob 102.</t>
  </si>
  <si>
    <t xml:space="preserve">Long-Distance $650 initiation + $15/month; gliders + instruction included; tows only ($40 to 2,000 ft, 2022).</t>
  </si>
  <si>
    <t xml:space="preserve">All-Grob fleet: Grob 102 roomiest; Grob 103 depends on proportions.</t>
  </si>
  <si>
    <t xml:space="preserve">https://www.adirondacksoaring.com/membership</t>
  </si>
  <si>
    <t xml:space="preserve">Full membership (licensed pilots): apply, attend a monthly meeting (3rd Thu, Denville NJ), wing-runner course, checkout. No hourly glider charge afterwards.</t>
  </si>
  <si>
    <t xml:space="preserve">$1,000 initiation (or $250/yr x4) + $138 dues + $530/yr flight fee + SSA. Tow 2,000 ft $38 with season pass.</t>
  </si>
  <si>
    <t xml:space="preserve">2-33 and LS-4 good; Twin Astir depends on proportions.</t>
  </si>
  <si>
    <t xml:space="preserve">https://www.aeroclubalbatross.org/memberships/</t>
  </si>
  <si>
    <t xml:space="preserve">Long Distance membership; 'Guest' status for pilots of other SSA clubs (orientation). Seasonal check ride; 1-26 needs 15 flights in type.</t>
  </si>
  <si>
    <t xml:space="preserve">Long Distance $550 ($200 refundable) + $15/mo. Tow $18/1,000 ft; winch $8.50.</t>
  </si>
  <si>
    <t xml:space="preserve">Grob 102 and 2-33 good.</t>
  </si>
  <si>
    <t xml:space="preserve">https://flsc.org/MembershipJoinUs.php</t>
  </si>
  <si>
    <t xml:space="preserve">Website lists tows for private owners and ACA members; no solo-rental policy published. Call about checkout + rental of 2-33 / 1-26.</t>
  </si>
  <si>
    <t xml:space="preserve">Lessons $130-160.</t>
  </si>
  <si>
    <t xml:space="preserve">2-33 and 2-32 good.</t>
  </si>
  <si>
    <t xml:space="preserve">http://www.jerseyridgesoaring.com/Lessons.html</t>
  </si>
  <si>
    <t xml:space="preserve">Non-resident membership (100+ mi); waiting list, faster for rated pilots.</t>
  </si>
  <si>
    <t xml:space="preserve">$500 + $35/mo; tow 3,000 ft $44.</t>
  </si>
  <si>
    <t xml:space="preserve">L-23 roomy; ASK-21 no.</t>
  </si>
  <si>
    <t xml:space="preserve">brandywinesoaring.org membership page</t>
  </si>
  <si>
    <t xml:space="preserve">Membership terms unpublished; call.</t>
  </si>
  <si>
    <t xml:space="preserve">2-33 good.</t>
  </si>
  <si>
    <t xml:space="preserve">FlightSchoolList; FAA registry</t>
  </si>
  <si>
    <t xml:space="preserve">Full membership only.</t>
  </si>
  <si>
    <t xml:space="preserve">$1,090/yr + $700 entry + $100 bond; tows ~$35.</t>
  </si>
  <si>
    <t xml:space="preserve">Grob 102 roomy; Grob 103s depend on proportions.</t>
  </si>
  <si>
    <t xml:space="preserve">https://pgcsoaring.org/glider-club-membership.php</t>
  </si>
  <si>
    <t xml:space="preserve">Annual membership only; tows only after that.</t>
  </si>
  <si>
    <t xml:space="preserve">$700/yr after solo; tows $35-90.</t>
  </si>
  <si>
    <t xml:space="preserve">Pilot weight limits 191-385 lb by glider.</t>
  </si>
  <si>
    <t xml:space="preserve">https://soaringtigers.org/memberinfo.html</t>
  </si>
  <si>
    <t xml:space="preserve">3 prepaid guest flights + 2 meetings before joining. Poor fit for chasing lift.</t>
  </si>
  <si>
    <t xml:space="preserve">Guest flight $120 then $60; $800 + $66/mo; tow $21 to 1,000 ft.</t>
  </si>
  <si>
    <t xml:space="preserve">https://longislandsoaring.com/fees</t>
  </si>
  <si>
    <t xml:space="preserve">'Visiting Member' $10/day for members of SSA-affiliated clubs, max 5 days/yr. Introductory $75 for 45 days. Email with SSA number + logbook; expect checkout.</t>
  </si>
  <si>
    <t xml:space="preserve">ASK-21 $39/h, Discus CS $36/h (capped 3 h), PW-5 $24/h. Tow $30 to 1,000 ft + $1/100 ft.</t>
  </si>
  <si>
    <t xml:space="preserve">ASK-21 won't fit; Discus CS medium (sit-test).</t>
  </si>
  <si>
    <t xml:space="preserve">https://www.skylinesoaring.org/cms/ssc-documents/dues-fees/</t>
  </si>
  <si>
    <t xml:space="preserve">Monthly guest memberships, club approval. Tows and instruction members only.</t>
  </si>
  <si>
    <t xml:space="preserve">Unpublished.</t>
  </si>
  <si>
    <t xml:space="preserve">ASK-21, LS-4, LS-6: poor fit.</t>
  </si>
  <si>
    <t xml:space="preserve">https://www.brss.net/visitor-info/</t>
  </si>
  <si>
    <t xml:space="preserve">3-month introductory membership (from demo flight). Height limit under 6'5", 230 lb.</t>
  </si>
  <si>
    <t xml:space="preserve">Under 6'5" limit.</t>
  </si>
  <si>
    <t xml:space="preserve">https://www.svsoar.org/faqs.html</t>
  </si>
  <si>
    <t xml:space="preserve">Full membership, provisional first year, 5 duty days. No visitor membership. Pilot weight ~154-240 lb.</t>
  </si>
  <si>
    <t xml:space="preserve">$1,000 initiation + $695/yr + SSA.</t>
  </si>
  <si>
    <t xml:space="preserve">Mostly ASK-21; 2-33A only likely fit.</t>
  </si>
  <si>
    <t xml:space="preserve">midatlanticsoaring.org join page</t>
  </si>
  <si>
    <t xml:space="preserve">Rents to rated pilots with an ESC airfield/winch checkride in last 12 months. Closed for 2026 season; watch for 2027.</t>
  </si>
  <si>
    <t xml:space="preserve">ASK-13 $55/h; winch $30-60.</t>
  </si>
  <si>
    <t xml:space="preserve">ASK-13 roomy.</t>
  </si>
  <si>
    <t xml:space="preserve">Membership only.</t>
  </si>
  <si>
    <t xml:space="preserve">$300 + $200 deposit + $45/mo + SSA.</t>
  </si>
  <si>
    <t xml:space="preserve">2-33A good.</t>
  </si>
  <si>
    <t xml:space="preserve">http://www.tidewatersoaring.org/membership.html</t>
  </si>
  <si>
    <t xml:space="preserve">Commercial hourly rental, no membership. Expect dual checkout (2-33A) first visit. Block account $1,000 buys $1,100 credit (forfeited after 1 yr idle). After that, call Thursday.</t>
  </si>
  <si>
    <t xml:space="preserve">2-33A $48/h, PW-6U $72/h, 1-26E $40/h, PW-5 $48/h (15 min min). Tow $20 + $2/100 ft ($40 min). Instruction $60/h.</t>
  </si>
  <si>
    <t xml:space="preserve">2-33A best; PW-6U fairly roomy; 2-32 very roomy (dual only).</t>
  </si>
  <si>
    <t xml:space="preserve">https://www.chilhowee.com/rates.html</t>
  </si>
  <si>
    <t xml:space="preserve">'Not scheduling instruction at this time'; members first. Call about rental.</t>
  </si>
  <si>
    <t xml:space="preserve">Ride $120 (2-33); weight limit 230-240 lb.</t>
  </si>
  <si>
    <t xml:space="preserve">2-33 and Duo Discus good.</t>
  </si>
  <si>
    <t xml:space="preserve">https://bermudahighsoaring.com/contact-us.html</t>
  </si>
  <si>
    <t xml:space="preserve">Contact before a trip; no visitor option published.</t>
  </si>
  <si>
    <t xml:space="preserve">$250 + $82/mo; gliders $0/h; aerotow $7 + $2.17/100 ft; winch $12.</t>
  </si>
  <si>
    <t xml:space="preserve">Grob 103 roomy.</t>
  </si>
  <si>
    <t xml:space="preserve">https://carolinasoaring.org/rates/</t>
  </si>
  <si>
    <t xml:space="preserve">'Drop by anytime we are flying'; fleet and rates unpublished.</t>
  </si>
  <si>
    <t xml:space="preserve">$500 + $450/yr + $500 capital note + SSA; tow 2,000 ft ~$50.</t>
  </si>
  <si>
    <t xml:space="preserve">ASK-21s; Grob 102 maybe.</t>
  </si>
  <si>
    <t xml:space="preserve">https://www.soar-mgsa.org/membershipinfo</t>
  </si>
  <si>
    <t xml:space="preserve">No visitor option published.</t>
  </si>
  <si>
    <t xml:space="preserve">ASK-21s, LS-4: poor fit ('height limited if significantly above 6 ft').</t>
  </si>
  <si>
    <t xml:space="preserve">'Short-term Guest Membership may be arranged for licensed soaring pilots.' Price unpublished.</t>
  </si>
  <si>
    <t xml:space="preserve">Tow min $26 + $1/100 ft above 1,000 ft.</t>
  </si>
  <si>
    <t xml:space="preserve">DG-505, Grob 103, 2-33: best tall-pilot club fleet.</t>
  </si>
  <si>
    <t xml:space="preserve">https://www.sandhillsoaring.org/join</t>
  </si>
  <si>
    <t xml:space="preserve">Accepting 1 new member this season; no visitor option.</t>
  </si>
  <si>
    <t xml:space="preserve">$250 + $725/yr + $1,000 buy-in; tows $25-55.</t>
  </si>
  <si>
    <t xml:space="preserve">2-33A, KR-03 Puchatek good.</t>
  </si>
  <si>
    <t xml:space="preserve">https://skysoaring.com/membership/</t>
  </si>
  <si>
    <t xml:space="preserve">Sponsor required; long-term commitment.</t>
  </si>
  <si>
    <t xml:space="preserve">$1,200 + $552/yr; ships $36-40/h.</t>
  </si>
  <si>
    <t xml:space="preserve">Duo Discus front seat roomy.</t>
  </si>
  <si>
    <t xml:space="preserve">chicagogliderclub.org fees</t>
  </si>
  <si>
    <t xml:space="preserve">Full membership required to act as PIC.</t>
  </si>
  <si>
    <t xml:space="preserve">$1,000 + $38/mo + 12 SSD shares ($100 ea).</t>
  </si>
  <si>
    <t xml:space="preserve">2-33s, Grob 102.</t>
  </si>
  <si>
    <t xml:space="preserve">https://www.soarccsc.com/membership/</t>
  </si>
  <si>
    <t xml:space="preserve">By schedule only; call ahead. Renters must carry $40,000 hull insurance. Checkout rules unpublished. Gliderport listed for sale (small continuity risk).</t>
  </si>
  <si>
    <t xml:space="preserve">Grob 103 $125/h, L-23 $120/h. Tow rates on request. Rides $180-260.</t>
  </si>
  <si>
    <t xml:space="preserve">L-23 and Grob 103 good.</t>
  </si>
  <si>
    <t xml:space="preserve">https://www.soarfl.com/airfield_info/ ; https://www.soarfl.com/our_aircraft</t>
  </si>
  <si>
    <t xml:space="preserve">Solo rental rates published; requirements not. Call about insurance + checkout.</t>
  </si>
  <si>
    <t xml:space="preserve">L-23 $90/h, 2-32 $90/h, B-4 $75/h. Tow $55 (2,000 ft) to $75 (3,000 ft).</t>
  </si>
  <si>
    <t xml:space="preserve">L-23 and 2-32 good.</t>
  </si>
  <si>
    <t xml:space="preserve">https://www.miamigliders.com/rates.html</t>
  </si>
  <si>
    <t xml:space="preserve">Apply in person; full membership only.</t>
  </si>
  <si>
    <t xml:space="preserve">$800 + $250/6 mo; tow $20 + $1/100 ft; gliders free.</t>
  </si>
  <si>
    <t xml:space="preserve">L-23s good.</t>
  </si>
  <si>
    <t xml:space="preserve">https://www.tampabaysoaring.com/membership/</t>
  </si>
  <si>
    <t xml:space="preserve">Visiting Licensed Pilot Membership (under 30 days); SSA + glider rating. Details in members memo. Also $30 Texas XC Series = temporary member at participating clubs.</t>
  </si>
  <si>
    <t xml:space="preserve">Full $500 + $65/mo.</t>
  </si>
  <si>
    <t xml:space="preserve">ASK-21, PW-5, 1-26: poor fit; Duo Discus maybe.</t>
  </si>
  <si>
    <t xml:space="preserve">https://texassoaring.org/page-18133</t>
  </si>
  <si>
    <t xml:space="preserve">'Guest' and 'One-Day' memberships exist; ask what they allow.</t>
  </si>
  <si>
    <t xml:space="preserve">2-33 $0.20/min; L-23/L-33 $0.40/min; ASK-21 $0.60/min.</t>
  </si>
  <si>
    <t xml:space="preserve">L-23 and 2-33 good.</t>
  </si>
  <si>
    <t xml:space="preserve">SCH membership information page</t>
  </si>
  <si>
    <t xml:space="preserve">Guest membership at $46/mo for pilots from other clubs; but site says club aircraft not for non-members. Confirm.</t>
  </si>
  <si>
    <t xml:space="preserve">Tows $25-55; Schweizers $0.25/min; Twin Astir $0.30/min.</t>
  </si>
  <si>
    <t xml:space="preserve">'Rentals' advertised; fleet/terms not online. Expect mountain + density-altitude checkout and own insurance. Call.</t>
  </si>
  <si>
    <t xml:space="preserve">Unknown; back seat reported tight.</t>
  </si>
  <si>
    <t xml:space="preserve">Boulder Chamber listing</t>
  </si>
  <si>
    <t xml:space="preserve">'Limited' membership (no initiation). Provisional until you attend a meeting; flight + written + oral checks. Book via Flightlog.</t>
  </si>
  <si>
    <t xml:space="preserve">Limited: $21/flight + $36/h. Regular $500 + $500 deposit + ~$41/mo.</t>
  </si>
  <si>
    <t xml:space="preserve">DG-505 best chance; ASK-21 no.</t>
  </si>
  <si>
    <t xml:space="preserve">https://www.soarboulder.org/aircraft</t>
  </si>
  <si>
    <t xml:space="preserve">Must join; licensed pilots get proficiency checkout.</t>
  </si>
  <si>
    <t xml:space="preserve">$500 + $800/yr; tows $65-75.</t>
  </si>
  <si>
    <t xml:space="preserve">Grob 103s workable.</t>
  </si>
  <si>
    <t xml:space="preserve">https://utahsoaring.org/learn-to-fly/</t>
  </si>
  <si>
    <t xml:space="preserve">Rental open daily. Must bring own non-owner renter policy (hull min $15k-100k by type). Rental-only bookings: no deposit, no cancellation fee. Checkout rules unpublished; expect dual checkout.</t>
  </si>
  <si>
    <t xml:space="preserve">1-26E $40/h, 1-36 $45/h, 2-33A $60/h, PW-5 $50/h, Genesis 2 $70/h, G103A $75/h, ASK-21 $110/h (20 min min). Tow $60 + $1.75/100 ft. Instruction $90/h.</t>
  </si>
  <si>
    <t xml:space="preserve">G103 and 2-33 good; ASK-21 no.</t>
  </si>
  <si>
    <t xml:space="preserve">https://azsoaring.com/rates/ ; https://azsoaring.com/insurance-requirements/</t>
  </si>
  <si>
    <t xml:space="preserve">Join (a year's dues + SSA). No temporary membership.</t>
  </si>
  <si>
    <t xml:space="preserve">$72.50/mo; tows from $42.50.</t>
  </si>
  <si>
    <t xml:space="preserve">2-33A and L-23 good.</t>
  </si>
  <si>
    <t xml:space="preserve">https://www.lvvsa.org/new-members</t>
  </si>
  <si>
    <t xml:space="preserve">AirNav lists rental; terms unpublished.</t>
  </si>
  <si>
    <t xml:space="preserve">Rides from $200.</t>
  </si>
  <si>
    <t xml:space="preserve">Renter's insurance proof; XC checkout before leaving glide range. Reference only (no Friday-night access).</t>
  </si>
  <si>
    <t xml:space="preserve">Duo Discus/Duo X.</t>
  </si>
  <si>
    <t xml:space="preserve">https://soaringnv.com/wp-content/uploads/2019/11/2020-RENTAL-AGREEMENT.pdf</t>
  </si>
  <si>
    <t xml:space="preserve">Type key</t>
  </si>
  <si>
    <t xml:space="preserve">Class</t>
  </si>
  <si>
    <t xml:space="preserve">Seats</t>
  </si>
  <si>
    <t xml:space="preserve">Span (m)</t>
  </si>
  <si>
    <t xml:space="preserve">Max L/D</t>
  </si>
  <si>
    <t xml:space="preserve">Best-glide speed (kt)</t>
  </si>
  <si>
    <t xml:space="preserve">Min sink (fpm)</t>
  </si>
  <si>
    <t xml:space="preserve">Vne (kt)</t>
  </si>
  <si>
    <t xml:space="preserve">Cockpit / tall pilot</t>
  </si>
  <si>
    <t xml:space="preserve">Figures approximate?</t>
  </si>
  <si>
    <t xml:space="preserve">2-33</t>
  </si>
  <si>
    <t xml:space="preserve">Schweizer SGS 2-33A</t>
  </si>
  <si>
    <t xml:space="preserve">Trainer (metal)</t>
  </si>
  <si>
    <t xml:space="preserve">Roomy</t>
  </si>
  <si>
    <t xml:space="preserve">No</t>
  </si>
  <si>
    <t xml:space="preserve">2-32</t>
  </si>
  <si>
    <t xml:space="preserve">Schweizer SGS 2-32</t>
  </si>
  <si>
    <t xml:space="preserve">Two-seat (metal)</t>
  </si>
  <si>
    <t xml:space="preserve">2-22</t>
  </si>
  <si>
    <t xml:space="preserve">Schweizer SGU 2-22</t>
  </si>
  <si>
    <t xml:space="preserve">Trainer (vintage)</t>
  </si>
  <si>
    <t xml:space="preserve">Tight</t>
  </si>
  <si>
    <t xml:space="preserve">Yes, verify</t>
  </si>
  <si>
    <t xml:space="preserve">1-26</t>
  </si>
  <si>
    <t xml:space="preserve">Schweizer SGS 1-26</t>
  </si>
  <si>
    <t xml:space="preserve">One-design (metal)</t>
  </si>
  <si>
    <t xml:space="preserve">Tight headroom</t>
  </si>
  <si>
    <t xml:space="preserve">1-34</t>
  </si>
  <si>
    <t xml:space="preserve">Schweizer SGS 1-34</t>
  </si>
  <si>
    <t xml:space="preserve">Standard (metal)</t>
  </si>
  <si>
    <t xml:space="preserve">OK</t>
  </si>
  <si>
    <t xml:space="preserve">1-35</t>
  </si>
  <si>
    <t xml:space="preserve">Schweizer SGS 1-35</t>
  </si>
  <si>
    <t xml:space="preserve">15 m (metal)</t>
  </si>
  <si>
    <t xml:space="preserve">Reclined, check</t>
  </si>
  <si>
    <t xml:space="preserve">1-36</t>
  </si>
  <si>
    <t xml:space="preserve">Schweizer SGS 1-36 Sprite</t>
  </si>
  <si>
    <t xml:space="preserve">Sport (metal)</t>
  </si>
  <si>
    <t xml:space="preserve">1-23</t>
  </si>
  <si>
    <t xml:space="preserve">Schweizer SGS 1-23</t>
  </si>
  <si>
    <t xml:space="preserve">Standard (vintage metal)</t>
  </si>
  <si>
    <t xml:space="preserve">L-23</t>
  </si>
  <si>
    <t xml:space="preserve">LET L-23 Super Blanik</t>
  </si>
  <si>
    <t xml:space="preserve">L-13</t>
  </si>
  <si>
    <t xml:space="preserve">LET L-13 Blanik</t>
  </si>
  <si>
    <t xml:space="preserve">L-33</t>
  </si>
  <si>
    <t xml:space="preserve">LET L-33 Solo</t>
  </si>
  <si>
    <t xml:space="preserve">Club (metal)</t>
  </si>
  <si>
    <t xml:space="preserve">ASK-21</t>
  </si>
  <si>
    <t xml:space="preserve">Schleicher ASK-21</t>
  </si>
  <si>
    <t xml:space="preserve">Two-seat trainer (GRP)</t>
  </si>
  <si>
    <t xml:space="preserve">Tight for very tall (did not fit Martin)</t>
  </si>
  <si>
    <t xml:space="preserve">ASK-13</t>
  </si>
  <si>
    <t xml:space="preserve">Schleicher ASK-13</t>
  </si>
  <si>
    <t xml:space="preserve">Trainer (wood/tube)</t>
  </si>
  <si>
    <t xml:space="preserve">ASW-19</t>
  </si>
  <si>
    <t xml:space="preserve">Schleicher ASW-19B</t>
  </si>
  <si>
    <t xml:space="preserve">Standard (GRP)</t>
  </si>
  <si>
    <t xml:space="preserve">Tight above ~6'2"</t>
  </si>
  <si>
    <t xml:space="preserve">PW-6</t>
  </si>
  <si>
    <t xml:space="preserve">PZL PW-6U</t>
  </si>
  <si>
    <t xml:space="preserve">Fairly roomy front</t>
  </si>
  <si>
    <t xml:space="preserve">PW-5</t>
  </si>
  <si>
    <t xml:space="preserve">PZL PW-5 Smyk</t>
  </si>
  <si>
    <t xml:space="preserve">World Class (GRP)</t>
  </si>
  <si>
    <t xml:space="preserve">Small</t>
  </si>
  <si>
    <t xml:space="preserve">G103</t>
  </si>
  <si>
    <t xml:space="preserve">Grob G103 Twin Astir / Twin II</t>
  </si>
  <si>
    <t xml:space="preserve">Two-seat (GRP)</t>
  </si>
  <si>
    <t xml:space="preserve">Good, depends on proportions</t>
  </si>
  <si>
    <t xml:space="preserve">G103C</t>
  </si>
  <si>
    <t xml:space="preserve">Grob G103C Twin III</t>
  </si>
  <si>
    <t xml:space="preserve">G102</t>
  </si>
  <si>
    <t xml:space="preserve">Grob G102 Astir (CS / Club / Std III)</t>
  </si>
  <si>
    <t xml:space="preserve">Club/Standard (GRP)</t>
  </si>
  <si>
    <t xml:space="preserve">B4</t>
  </si>
  <si>
    <t xml:space="preserve">Pilatus B4-PC11</t>
  </si>
  <si>
    <t xml:space="preserve">Club (metal, aerobatic)</t>
  </si>
  <si>
    <t xml:space="preserve">Smallish</t>
  </si>
  <si>
    <t xml:space="preserve">LS-4</t>
  </si>
  <si>
    <t xml:space="preserve">Rolladen-Schneider LS-4</t>
  </si>
  <si>
    <t xml:space="preserve">LS-3</t>
  </si>
  <si>
    <t xml:space="preserve">Rolladen-Schneider LS-3</t>
  </si>
  <si>
    <t xml:space="preserve">15 m (GRP)</t>
  </si>
  <si>
    <t xml:space="preserve">LS-6</t>
  </si>
  <si>
    <t xml:space="preserve">Rolladen-Schneider LS-6</t>
  </si>
  <si>
    <t xml:space="preserve">DISCUS</t>
  </si>
  <si>
    <t xml:space="preserve">Schempp-Hirth Discus CS</t>
  </si>
  <si>
    <t xml:space="preserve">Medium</t>
  </si>
  <si>
    <t xml:space="preserve">DUO</t>
  </si>
  <si>
    <t xml:space="preserve">Schempp-Hirth Duo Discus</t>
  </si>
  <si>
    <t xml:space="preserve">Two-seat 20 m (GRP)</t>
  </si>
  <si>
    <t xml:space="preserve">Front seat reputedly roomy</t>
  </si>
  <si>
    <t xml:space="preserve">DISCUS2</t>
  </si>
  <si>
    <t xml:space="preserve">Schempp-Hirth Discus-2cT</t>
  </si>
  <si>
    <t xml:space="preserve">18 m (GRP, turbo)</t>
  </si>
  <si>
    <t xml:space="preserve">DG505</t>
  </si>
  <si>
    <t xml:space="preserve">Glaser-Dirks DG-505 Orion</t>
  </si>
  <si>
    <t xml:space="preserve">Two-seat 18/20 m (GRP)</t>
  </si>
  <si>
    <t xml:space="preserve">Good</t>
  </si>
  <si>
    <t xml:space="preserve">HPH304</t>
  </si>
  <si>
    <t xml:space="preserve">HpH 304C Wasp</t>
  </si>
  <si>
    <t xml:space="preserve">IS28</t>
  </si>
  <si>
    <t xml:space="preserve">IAR IS-28B2 Lark</t>
  </si>
  <si>
    <t xml:space="preserve">PEGASUS</t>
  </si>
  <si>
    <t xml:space="preserve">Centrair Pegasus 101</t>
  </si>
  <si>
    <t xml:space="preserve">GENESIS</t>
  </si>
  <si>
    <t xml:space="preserve">Genesis 2</t>
  </si>
  <si>
    <t xml:space="preserve">Standard (composite)</t>
  </si>
  <si>
    <t xml:space="preserve">Moderate</t>
  </si>
  <si>
    <t xml:space="preserve">SWIFT</t>
  </si>
  <si>
    <t xml:space="preserve">Swift S-1 / MDM aerobatic</t>
  </si>
  <si>
    <t xml:space="preserve">Aerobatic</t>
  </si>
  <si>
    <t xml:space="preserve">PUCHACZ</t>
  </si>
  <si>
    <t xml:space="preserve">SZD-50 Puchacz</t>
  </si>
  <si>
    <t xml:space="preserve">CIRRUS</t>
  </si>
  <si>
    <t xml:space="preserve">Schempp-Hirth Open Cirrus</t>
  </si>
  <si>
    <t xml:space="preserve">Open (GRP, vintage)</t>
  </si>
  <si>
    <t xml:space="preserve">Nominal type figures (manufacturer data / type references). L/D = maximum glide ratio; Vne = never-exceed speed; min sink = lowest still-air sink rate. Always use the actual aircraft's flight manual.</t>
  </si>
  <si>
    <t xml:space="preserve">Operator ID</t>
  </si>
  <si>
    <t xml:space="preserve">Glider</t>
  </si>
  <si>
    <t xml:space="preserve">Registration (N-number)</t>
  </si>
  <si>
    <t xml:space="preserve">Rate</t>
  </si>
  <si>
    <t xml:space="preserve">Who can fly it</t>
  </si>
  <si>
    <t xml:space="preserve">Tall-pilot note</t>
  </si>
  <si>
    <t xml:space="preserve">Best-glide kt</t>
  </si>
  <si>
    <t xml:space="preserve">Min sink fpm</t>
  </si>
  <si>
    <t xml:space="preserve">Vne kt</t>
  </si>
  <si>
    <t xml:space="preserve">Sat in it? (Y/N)</t>
  </si>
  <si>
    <t xml:space="preserve">My checkout date</t>
  </si>
  <si>
    <t xml:space="preserve">Notes</t>
  </si>
  <si>
    <t xml:space="preserve">N421GB</t>
  </si>
  <si>
    <t xml:space="preserve">$25/h members</t>
  </si>
  <si>
    <t xml:space="preserve">Members</t>
  </si>
  <si>
    <t xml:space="preserve">Did not fit you</t>
  </si>
  <si>
    <t xml:space="preserve">N721RC</t>
  </si>
  <si>
    <t xml:space="preserve">Schweizer 2-33A</t>
  </si>
  <si>
    <t xml:space="preserve">N1225S</t>
  </si>
  <si>
    <t xml:space="preserve">$14/h members</t>
  </si>
  <si>
    <t xml:space="preserve">not found</t>
  </si>
  <si>
    <t xml:space="preserve">Roomy; sit-test</t>
  </si>
  <si>
    <t xml:space="preserve">$20/h, 2 h limit</t>
  </si>
  <si>
    <t xml:space="preserve">$10/h, 2 h limit</t>
  </si>
  <si>
    <t xml:space="preserve">Probably OK</t>
  </si>
  <si>
    <t xml:space="preserve">Schweizer 1-34</t>
  </si>
  <si>
    <t xml:space="preserve">N1156S</t>
  </si>
  <si>
    <t xml:space="preserve">$10/h</t>
  </si>
  <si>
    <t xml:space="preserve">Generally good</t>
  </si>
  <si>
    <t xml:space="preserve">Schweizer 1-26E</t>
  </si>
  <si>
    <t xml:space="preserve">N33917</t>
  </si>
  <si>
    <t xml:space="preserve">N16VT</t>
  </si>
  <si>
    <t xml:space="preserve">$169/h non-member; $50 member</t>
  </si>
  <si>
    <t xml:space="preserve">Yes</t>
  </si>
  <si>
    <t xml:space="preserve">Front seat fairly roomy</t>
  </si>
  <si>
    <t xml:space="preserve">N777VT</t>
  </si>
  <si>
    <t xml:space="preserve">Schweizer 2-33</t>
  </si>
  <si>
    <t xml:space="preserve">N2743H</t>
  </si>
  <si>
    <t xml:space="preserve">$85/h non-member; $40 member</t>
  </si>
  <si>
    <t xml:space="preserve">N1107S</t>
  </si>
  <si>
    <t xml:space="preserve">$79/h non-member; $40 member</t>
  </si>
  <si>
    <t xml:space="preserve">N336MS</t>
  </si>
  <si>
    <t xml:space="preserve">N1186S</t>
  </si>
  <si>
    <t xml:space="preserve">N2039T</t>
  </si>
  <si>
    <t xml:space="preserve">Schweizer 2-22E</t>
  </si>
  <si>
    <t xml:space="preserve">N2729Z</t>
  </si>
  <si>
    <t xml:space="preserve">Small; may be inactive</t>
  </si>
  <si>
    <t xml:space="preserve">N65947</t>
  </si>
  <si>
    <t xml:space="preserve">Schweizer 1-23H-15</t>
  </si>
  <si>
    <t xml:space="preserve">N10388</t>
  </si>
  <si>
    <t xml:space="preserve">N17967</t>
  </si>
  <si>
    <t xml:space="preserve">In dues</t>
  </si>
  <si>
    <t xml:space="preserve">N303BA</t>
  </si>
  <si>
    <t xml:space="preserve">N1115S</t>
  </si>
  <si>
    <t xml:space="preserve">HpH 304C</t>
  </si>
  <si>
    <t xml:space="preserve">N304PM</t>
  </si>
  <si>
    <t xml:space="preserve">Unverified</t>
  </si>
  <si>
    <t xml:space="preserve">N2041T</t>
  </si>
  <si>
    <t xml:space="preserve">$10/flight</t>
  </si>
  <si>
    <t xml:space="preserve">N1242S</t>
  </si>
  <si>
    <t xml:space="preserve">N7660</t>
  </si>
  <si>
    <t xml:space="preserve">N65948</t>
  </si>
  <si>
    <t xml:space="preserve">Grob G103 Twin Astir</t>
  </si>
  <si>
    <t xml:space="preserve">N103GV</t>
  </si>
  <si>
    <t xml:space="preserve">Members?</t>
  </si>
  <si>
    <t xml:space="preserve">Large cockpit; best bet</t>
  </si>
  <si>
    <t xml:space="preserve">N118BB</t>
  </si>
  <si>
    <t xml:space="preserve">N33968</t>
  </si>
  <si>
    <t xml:space="preserve">N7776S</t>
  </si>
  <si>
    <t xml:space="preserve">Schweizer 1-26</t>
  </si>
  <si>
    <t xml:space="preserve">N2775Z</t>
  </si>
  <si>
    <t xml:space="preserve">N606GF</t>
  </si>
  <si>
    <t xml:space="preserve">Pilatus B4</t>
  </si>
  <si>
    <t xml:space="preserve">N76PS</t>
  </si>
  <si>
    <t xml:space="preserve">N2930H</t>
  </si>
  <si>
    <t xml:space="preserve">N1228S</t>
  </si>
  <si>
    <t xml:space="preserve">N2517H</t>
  </si>
  <si>
    <t xml:space="preserve">N1164S</t>
  </si>
  <si>
    <t xml:space="preserve">Grob G103A Twin II</t>
  </si>
  <si>
    <t xml:space="preserve">$75/h</t>
  </si>
  <si>
    <t xml:space="preserve">Depends on proportions</t>
  </si>
  <si>
    <t xml:space="preserve">N2656H</t>
  </si>
  <si>
    <t xml:space="preserve">$67/h</t>
  </si>
  <si>
    <t xml:space="preserve">N65828</t>
  </si>
  <si>
    <t xml:space="preserve">N33898</t>
  </si>
  <si>
    <t xml:space="preserve">$55/h</t>
  </si>
  <si>
    <t xml:space="preserve">Little headroom</t>
  </si>
  <si>
    <t xml:space="preserve">N103GT</t>
  </si>
  <si>
    <t xml:space="preserve">Tows only</t>
  </si>
  <si>
    <t xml:space="preserve">Rolladen-Schneider LS-4A</t>
  </si>
  <si>
    <t xml:space="preserve">N3YA</t>
  </si>
  <si>
    <t xml:space="preserve">N21TU</t>
  </si>
  <si>
    <t xml:space="preserve">N134TM</t>
  </si>
  <si>
    <t xml:space="preserve">Schweizer 1-26 (x4)</t>
  </si>
  <si>
    <t xml:space="preserve">N1118S, N17950, N2994H, N2767R</t>
  </si>
  <si>
    <t xml:space="preserve">N17867</t>
  </si>
  <si>
    <t xml:space="preserve">N65804</t>
  </si>
  <si>
    <t xml:space="preserve">IS-28B2 Lark</t>
  </si>
  <si>
    <t xml:space="preserve">N350BB</t>
  </si>
  <si>
    <t xml:space="preserve">Grob G103 Twin II</t>
  </si>
  <si>
    <t xml:space="preserve">N18AG</t>
  </si>
  <si>
    <t xml:space="preserve">Schweizer 2-33A (x3)</t>
  </si>
  <si>
    <t xml:space="preserve">N17879, N33983, N65976</t>
  </si>
  <si>
    <t xml:space="preserve">Schweizer 2-32</t>
  </si>
  <si>
    <t xml:space="preserve">N5772S</t>
  </si>
  <si>
    <t xml:space="preserve">N17933</t>
  </si>
  <si>
    <t xml:space="preserve">Grob G102 Astir CS</t>
  </si>
  <si>
    <t xml:space="preserve">N5054</t>
  </si>
  <si>
    <t xml:space="preserve">Long-distance members</t>
  </si>
  <si>
    <t xml:space="preserve">Roomiest here</t>
  </si>
  <si>
    <t xml:space="preserve">N575AS</t>
  </si>
  <si>
    <t xml:space="preserve">N898AS</t>
  </si>
  <si>
    <t xml:space="preserve">N996T</t>
  </si>
  <si>
    <t xml:space="preserve">Schleicher ASK-21 (x3)</t>
  </si>
  <si>
    <t xml:space="preserve">N521HH, N621HH, N91HH</t>
  </si>
  <si>
    <t xml:space="preserve">$50/h guest</t>
  </si>
  <si>
    <t xml:space="preserve">Guest</t>
  </si>
  <si>
    <t xml:space="preserve">Does not fit you</t>
  </si>
  <si>
    <t xml:space="preserve">N60BP</t>
  </si>
  <si>
    <t xml:space="preserve">N189HH</t>
  </si>
  <si>
    <t xml:space="preserve">N7654</t>
  </si>
  <si>
    <t xml:space="preserve">Schweizer 1-35C</t>
  </si>
  <si>
    <t xml:space="preserve">N3620E</t>
  </si>
  <si>
    <t xml:space="preserve">Schweizer 1-26E (x2)</t>
  </si>
  <si>
    <t xml:space="preserve">N2768H, N33874</t>
  </si>
  <si>
    <t xml:space="preserve">N17903, N65833, N65839</t>
  </si>
  <si>
    <t xml:space="preserve">N574KS</t>
  </si>
  <si>
    <t xml:space="preserve">N20737</t>
  </si>
  <si>
    <t xml:space="preserve">Centrair Pegasus 101B</t>
  </si>
  <si>
    <t xml:space="preserve">N70FP</t>
  </si>
  <si>
    <t xml:space="preserve">Schweizer 1-26A</t>
  </si>
  <si>
    <t xml:space="preserve">N3822A</t>
  </si>
  <si>
    <t xml:space="preserve">15 flights in type required</t>
  </si>
  <si>
    <t xml:space="preserve">N234WE</t>
  </si>
  <si>
    <t xml:space="preserve">N474KS</t>
  </si>
  <si>
    <t xml:space="preserve">Schweizer 2-33 (x3)</t>
  </si>
  <si>
    <t xml:space="preserve">N2463W, N5787S, N7686</t>
  </si>
  <si>
    <t xml:space="preserve">N1172S</t>
  </si>
  <si>
    <t xml:space="preserve">N17924</t>
  </si>
  <si>
    <t xml:space="preserve">N17956, N2055T, N65918</t>
  </si>
  <si>
    <t xml:space="preserve">N7635</t>
  </si>
  <si>
    <t xml:space="preserve">N17917</t>
  </si>
  <si>
    <t xml:space="preserve">$80/h + tow</t>
  </si>
  <si>
    <t xml:space="preserve">N65867</t>
  </si>
  <si>
    <t xml:space="preserve">Schweizer 1-26B</t>
  </si>
  <si>
    <t xml:space="preserve">N389BR</t>
  </si>
  <si>
    <t xml:space="preserve">N76JP</t>
  </si>
  <si>
    <t xml:space="preserve">Grob G103 family (x5)</t>
  </si>
  <si>
    <t xml:space="preserve">N139BG, N5QD, N924BG, N487GC, N5361V</t>
  </si>
  <si>
    <t xml:space="preserve">Grob G102 / Astir CS-77</t>
  </si>
  <si>
    <t xml:space="preserve">N131SS, N1006P</t>
  </si>
  <si>
    <t xml:space="preserve">N90BP</t>
  </si>
  <si>
    <t xml:space="preserve">Schweizer 2-22</t>
  </si>
  <si>
    <t xml:space="preserve">N91834</t>
  </si>
  <si>
    <t xml:space="preserve">N214BS</t>
  </si>
  <si>
    <t xml:space="preserve">N316BA</t>
  </si>
  <si>
    <t xml:space="preserve">N906BG</t>
  </si>
  <si>
    <t xml:space="preserve">N1106S, N8642</t>
  </si>
  <si>
    <t xml:space="preserve">Grob G103</t>
  </si>
  <si>
    <t xml:space="preserve">N103X</t>
  </si>
  <si>
    <t xml:space="preserve">Temp member</t>
  </si>
  <si>
    <t xml:space="preserve">Grob G102</t>
  </si>
  <si>
    <t xml:space="preserve">N412SS / N142SS</t>
  </si>
  <si>
    <t xml:space="preserve">Temp member (rated)</t>
  </si>
  <si>
    <t xml:space="preserve">N916B</t>
  </si>
  <si>
    <t xml:space="preserve">N899MA</t>
  </si>
  <si>
    <t xml:space="preserve">Schleicher ASK-21 (hand rudder)</t>
  </si>
  <si>
    <t xml:space="preserve">N899SA</t>
  </si>
  <si>
    <t xml:space="preserve">N7782S</t>
  </si>
  <si>
    <t xml:space="preserve">Grob G102 Club Astir IIIB</t>
  </si>
  <si>
    <t xml:space="preserve">N936BG</t>
  </si>
  <si>
    <t xml:space="preserve">N30RD</t>
  </si>
  <si>
    <t xml:space="preserve">Schleicher ASK-21 (x2)</t>
  </si>
  <si>
    <t xml:space="preserve">$39/h</t>
  </si>
  <si>
    <t xml:space="preserve">Visiting member</t>
  </si>
  <si>
    <t xml:space="preserve">Schempp-Hirth Discus CS (x2)</t>
  </si>
  <si>
    <t xml:space="preserve">$36/h (3 h cap)</t>
  </si>
  <si>
    <t xml:space="preserve">Medium; sit-test</t>
  </si>
  <si>
    <t xml:space="preserve">PZL PW-5</t>
  </si>
  <si>
    <t xml:space="preserve">$24/h</t>
  </si>
  <si>
    <t xml:space="preserve">Closed 2026</t>
  </si>
  <si>
    <t xml:space="preserve">N747SV</t>
  </si>
  <si>
    <t xml:space="preserve">Intro member</t>
  </si>
  <si>
    <t xml:space="preserve">Guest member</t>
  </si>
  <si>
    <t xml:space="preserve">Rolladen-Schneider LS-4 (x2)</t>
  </si>
  <si>
    <t xml:space="preserve">Roomy front</t>
  </si>
  <si>
    <t xml:space="preserve">Schweizer 1-26A (x3)</t>
  </si>
  <si>
    <t xml:space="preserve">Grob G103 Acro</t>
  </si>
  <si>
    <t xml:space="preserve">$0/h</t>
  </si>
  <si>
    <t xml:space="preserve">Grob G102 Standard Astir</t>
  </si>
  <si>
    <t xml:space="preserve">$48/h</t>
  </si>
  <si>
    <t xml:space="preserve">Best tall-pilot bet</t>
  </si>
  <si>
    <t xml:space="preserve">$72/h</t>
  </si>
  <si>
    <t xml:space="preserve">Fairly roomy</t>
  </si>
  <si>
    <t xml:space="preserve">$40/h</t>
  </si>
  <si>
    <t xml:space="preserve">Dual only</t>
  </si>
  <si>
    <t xml:space="preserve">Very roomy</t>
  </si>
  <si>
    <t xml:space="preserve">N121FL</t>
  </si>
  <si>
    <t xml:space="preserve">N2237W</t>
  </si>
  <si>
    <t xml:space="preserve">N68RM</t>
  </si>
  <si>
    <t xml:space="preserve">Free to members</t>
  </si>
  <si>
    <t xml:space="preserve">SZD-50 Puchacz (KR-03)</t>
  </si>
  <si>
    <t xml:space="preserve">Schweizer 1-34R</t>
  </si>
  <si>
    <t xml:space="preserve">$36-40/h</t>
  </si>
  <si>
    <t xml:space="preserve">Schweizer 2-33 (x2)</t>
  </si>
  <si>
    <t xml:space="preserve">Grob G102 Std Astir III</t>
  </si>
  <si>
    <t xml:space="preserve">Grob G103 Twin II / Acro II</t>
  </si>
  <si>
    <t xml:space="preserve">Grob G103 Twin</t>
  </si>
  <si>
    <t xml:space="preserve">$125/h</t>
  </si>
  <si>
    <t xml:space="preserve">Yes (with insurance)</t>
  </si>
  <si>
    <t xml:space="preserve">$120/h</t>
  </si>
  <si>
    <t xml:space="preserve">Grob G103 Twin Astir (x3)</t>
  </si>
  <si>
    <t xml:space="preserve">LET L-23 Blanik (x2)</t>
  </si>
  <si>
    <t xml:space="preserve">Schweizer 1-36</t>
  </si>
  <si>
    <t xml:space="preserve">Silver badge required</t>
  </si>
  <si>
    <t xml:space="preserve">LET L-23 Blanik</t>
  </si>
  <si>
    <t xml:space="preserve">$90/h</t>
  </si>
  <si>
    <t xml:space="preserve">Yes (call)</t>
  </si>
  <si>
    <t xml:space="preserve">Pilatus B-4</t>
  </si>
  <si>
    <t xml:space="preserve">Front tight above ~6'3"</t>
  </si>
  <si>
    <t xml:space="preserve">PZL PW-5 (x3)</t>
  </si>
  <si>
    <t xml:space="preserve">Schweizer 1-26 (x2)</t>
  </si>
  <si>
    <t xml:space="preserve">$0.20/min</t>
  </si>
  <si>
    <t xml:space="preserve">Guest member?</t>
  </si>
  <si>
    <t xml:space="preserve">LET L-23 / L-33</t>
  </si>
  <si>
    <t xml:space="preserve">$0.40/min</t>
  </si>
  <si>
    <t xml:space="preserve">$0.60/min</t>
  </si>
  <si>
    <t xml:space="preserve">$0.25/min</t>
  </si>
  <si>
    <t xml:space="preserve">$0.30/min</t>
  </si>
  <si>
    <t xml:space="preserve">Glaser-Dirks DG-505</t>
  </si>
  <si>
    <t xml:space="preserve">N505PB</t>
  </si>
  <si>
    <t xml:space="preserve">$16/flight + $16/h</t>
  </si>
  <si>
    <t xml:space="preserve">Limited member</t>
  </si>
  <si>
    <t xml:space="preserve">Best chance here</t>
  </si>
  <si>
    <t xml:space="preserve">N421EF</t>
  </si>
  <si>
    <t xml:space="preserve">N23SG</t>
  </si>
  <si>
    <t xml:space="preserve">N42CA</t>
  </si>
  <si>
    <t xml:space="preserve">$40/h (ins. $15k)</t>
  </si>
  <si>
    <t xml:space="preserve">Cramped</t>
  </si>
  <si>
    <t xml:space="preserve">$45/h (ins. $15k)</t>
  </si>
  <si>
    <t xml:space="preserve">$60/h (ins. $15k)</t>
  </si>
  <si>
    <t xml:space="preserve">$50/h (ins. $25k)</t>
  </si>
  <si>
    <t xml:space="preserve">$70/h (ins. $40k)</t>
  </si>
  <si>
    <t xml:space="preserve">Grob G103A</t>
  </si>
  <si>
    <t xml:space="preserve">$75/h (ins. $60k)</t>
  </si>
  <si>
    <t xml:space="preserve">Good; 240 lb limit</t>
  </si>
  <si>
    <t xml:space="preserve">$110/h (ins. $100k)</t>
  </si>
  <si>
    <t xml:space="preserve">MDM-1 Swift (aerobatic)</t>
  </si>
  <si>
    <t xml:space="preserve">$160/flight</t>
  </si>
  <si>
    <t xml:space="preserve">Schweizer 1-26D</t>
  </si>
  <si>
    <t xml:space="preserve">Schweizer 2-32 (lease-back)</t>
  </si>
  <si>
    <t xml:space="preserve">N7813, N80PX, N8485W</t>
  </si>
  <si>
    <t xml:space="preserve">Workable</t>
  </si>
  <si>
    <t xml:space="preserve">Grob G103 Twin II (x2)</t>
  </si>
  <si>
    <t xml:space="preserve">N228BG, N4446Y</t>
  </si>
  <si>
    <t xml:space="preserve">Tier</t>
  </si>
  <si>
    <t xml:space="preserve">Destination</t>
  </si>
  <si>
    <t xml:space="preserve">Carriers (nonstop from BOS)</t>
  </si>
  <si>
    <t xml:space="preserve">Friday evening timing</t>
  </si>
  <si>
    <t xml:space="preserve">Round-trip fare (KAYAK typical)</t>
  </si>
  <si>
    <t xml:space="preserve">Nearest soaring</t>
  </si>
  <si>
    <t xml:space="preserve">A</t>
  </si>
  <si>
    <t xml:space="preserve">ORD / MDW</t>
  </si>
  <si>
    <t xml:space="preserve">AA, UA / WN</t>
  </si>
  <si>
    <t xml:space="preserve">~8-9 pm dep, arr ~10-11 pm CT</t>
  </si>
  <si>
    <t xml:space="preserve">$181-308 typ</t>
  </si>
  <si>
    <t xml:space="preserve">Sky Soaring ~0:50; Chicago Glider Club ~1:00</t>
  </si>
  <si>
    <t xml:space="preserve">PHL</t>
  </si>
  <si>
    <t xml:space="preserve">AA, DL, B6</t>
  </si>
  <si>
    <t xml:space="preserve">9:29 pm -&gt; 11:09 pm</t>
  </si>
  <si>
    <t xml:space="preserve">$191-347 typ</t>
  </si>
  <si>
    <t xml:space="preserve">Van Sant ~1:15; Blairstown ~1:45</t>
  </si>
  <si>
    <t xml:space="preserve">DCA</t>
  </si>
  <si>
    <t xml:space="preserve">earlier than 10:48 pm</t>
  </si>
  <si>
    <t xml:space="preserve">$185-332 typ</t>
  </si>
  <si>
    <t xml:space="preserve">Fairfield PA ~1:30; Skyline</t>
  </si>
  <si>
    <t xml:space="preserve">BWI</t>
  </si>
  <si>
    <t xml:space="preserve">WN, DL</t>
  </si>
  <si>
    <t xml:space="preserve">10:20 pm -&gt; ~12:00 am</t>
  </si>
  <si>
    <t xml:space="preserve">$213-364; last-minute +103%</t>
  </si>
  <si>
    <t xml:space="preserve">Fairfield PA ~1:20</t>
  </si>
  <si>
    <t xml:space="preserve">ATL</t>
  </si>
  <si>
    <t xml:space="preserve">DL, B6, F9</t>
  </si>
  <si>
    <t xml:space="preserve">~8 pm dep</t>
  </si>
  <si>
    <t xml:space="preserve">$196-360 typ</t>
  </si>
  <si>
    <t xml:space="preserve">Chilhowee ~2:15; MGSA ~1:00</t>
  </si>
  <si>
    <t xml:space="preserve">MCO</t>
  </si>
  <si>
    <t xml:space="preserve">B6, DL, F9</t>
  </si>
  <si>
    <t xml:space="preserve">7-8 pm dep</t>
  </si>
  <si>
    <t xml:space="preserve">$209-395 typ</t>
  </si>
  <si>
    <t xml:space="preserve">Seminole-Lake ~0:45</t>
  </si>
  <si>
    <t xml:space="preserve">SYR / BUF</t>
  </si>
  <si>
    <t xml:space="preserve">AA, B6, DL</t>
  </si>
  <si>
    <t xml:space="preserve">~8:30-9:50 pm</t>
  </si>
  <si>
    <t xml:space="preserve">$197-338 typ</t>
  </si>
  <si>
    <t xml:space="preserve">Harris Hill 1:45-2:30</t>
  </si>
  <si>
    <t xml:space="preserve">RDU</t>
  </si>
  <si>
    <t xml:space="preserve">9:45 pm -&gt; 11:56 pm</t>
  </si>
  <si>
    <t xml:space="preserve">$182-346 typ</t>
  </si>
  <si>
    <t xml:space="preserve">NCSA ~0:45</t>
  </si>
  <si>
    <t xml:space="preserve">B</t>
  </si>
  <si>
    <t xml:space="preserve">DEN</t>
  </si>
  <si>
    <t xml:space="preserve">UA, WN, B6, DL</t>
  </si>
  <si>
    <t xml:space="preserve">9:06 pm -&gt; 11:48 pm MT</t>
  </si>
  <si>
    <t xml:space="preserve">$278-468; avg $365</t>
  </si>
  <si>
    <t xml:space="preserve">Boulder ~0:45</t>
  </si>
  <si>
    <t xml:space="preserve">CLT</t>
  </si>
  <si>
    <t xml:space="preserve">AA, DL</t>
  </si>
  <si>
    <t xml:space="preserve">8:10 pm -&gt; 10:44 pm</t>
  </si>
  <si>
    <t xml:space="preserve">$296-429</t>
  </si>
  <si>
    <t xml:space="preserve">Bermuda High ~1:15</t>
  </si>
  <si>
    <t xml:space="preserve">IAD</t>
  </si>
  <si>
    <t xml:space="preserve">UA</t>
  </si>
  <si>
    <t xml:space="preserve">7:41 pm (tight)</t>
  </si>
  <si>
    <t xml:space="preserve">$226-377</t>
  </si>
  <si>
    <t xml:space="preserve">Skyline, Eastern Soaring</t>
  </si>
  <si>
    <t xml:space="preserve">PIT</t>
  </si>
  <si>
    <t xml:space="preserve">B6, DL</t>
  </si>
  <si>
    <t xml:space="preserve">9:59 pm -&gt; 11:55 pm</t>
  </si>
  <si>
    <t xml:space="preserve">$233-421</t>
  </si>
  <si>
    <t xml:space="preserve">Pittsburgh Soaring ~1:00</t>
  </si>
  <si>
    <t xml:space="preserve">DTW</t>
  </si>
  <si>
    <t xml:space="preserve">DL, B6</t>
  </si>
  <si>
    <t xml:space="preserve">9:40 pm -&gt; 11:55 pm</t>
  </si>
  <si>
    <t xml:space="preserve">$237-416</t>
  </si>
  <si>
    <t xml:space="preserve">Sandhill ~1:00</t>
  </si>
  <si>
    <t xml:space="preserve">AUS</t>
  </si>
  <si>
    <t xml:space="preserve">DL, B6, WN</t>
  </si>
  <si>
    <t xml:space="preserve">7:49 pm -&gt; 11:27 pm CT</t>
  </si>
  <si>
    <t xml:space="preserve">$253-470</t>
  </si>
  <si>
    <t xml:space="preserve">Fault Line Flyers ~1:15</t>
  </si>
  <si>
    <t xml:space="preserve">TPA</t>
  </si>
  <si>
    <t xml:space="preserve">earlier than 9:35 pm</t>
  </si>
  <si>
    <t xml:space="preserve">$230-441</t>
  </si>
  <si>
    <t xml:space="preserve">Tampa Bay ~0:45; Seminole ~1:15</t>
  </si>
  <si>
    <t xml:space="preserve">BNA</t>
  </si>
  <si>
    <t xml:space="preserve">WN, B6, DL</t>
  </si>
  <si>
    <t xml:space="preserve">9:29 pm -&gt; 11:23 pm CT</t>
  </si>
  <si>
    <t xml:space="preserve">$242-432</t>
  </si>
  <si>
    <t xml:space="preserve">Eagleville ~0:45; Chilhowee ~3:00</t>
  </si>
  <si>
    <t xml:space="preserve">C</t>
  </si>
  <si>
    <t xml:space="preserve">PHX</t>
  </si>
  <si>
    <t xml:space="preserve">8:29 pm -&gt; 11:21 pm MST</t>
  </si>
  <si>
    <t xml:space="preserve">$307-517; avg $398</t>
  </si>
  <si>
    <t xml:space="preserve">Arizona Soaring ~0:45</t>
  </si>
  <si>
    <t xml:space="preserve">LAS</t>
  </si>
  <si>
    <t xml:space="preserve">8:40 pm -&gt; 11:37 pm PT</t>
  </si>
  <si>
    <t xml:space="preserve">$310-542</t>
  </si>
  <si>
    <t xml:space="preserve">LVVSA ~0:30</t>
  </si>
  <si>
    <t xml:space="preserve">DFW</t>
  </si>
  <si>
    <t xml:space="preserve">7:50 pm -&gt; 11:18 pm CT</t>
  </si>
  <si>
    <t xml:space="preserve">$314-540</t>
  </si>
  <si>
    <t xml:space="preserve">TSA ~0:50</t>
  </si>
  <si>
    <t xml:space="preserve">SLC</t>
  </si>
  <si>
    <t xml:space="preserve">7:30 pm -&gt; 10:55 pm MT</t>
  </si>
  <si>
    <t xml:space="preserve">$410-665</t>
  </si>
  <si>
    <t xml:space="preserve">Heber ~0:55</t>
  </si>
  <si>
    <t xml:space="preserve">RNO</t>
  </si>
  <si>
    <t xml:space="preserve">none nonstop</t>
  </si>
  <si>
    <t xml:space="preserve">n/a</t>
  </si>
  <si>
    <t xml:space="preserve">Minden: not reachable Friday night</t>
  </si>
  <si>
    <t xml:space="preserve">Tier A: plausibly under $300 booked 2-3 days out. Tier B: sometimes, watch for sales. Tier C: rarely.</t>
  </si>
  <si>
    <t xml:space="preserve">Fares from KAYAK route pages, Sept 2026; booking within 2 weeks runs 10-100% above average. Spirit ceased operations 2 May 2026.</t>
  </si>
  <si>
    <t xml:space="preserve">Earliest realistic BOS departure leaving Newton at 5:30 pm Friday: about 7:00-7:15 pm.</t>
  </si>
  <si>
    <t xml:space="preserve">Date</t>
  </si>
  <si>
    <t xml:space="preserve">Person</t>
  </si>
  <si>
    <t xml:space="preserve">Method</t>
  </si>
  <si>
    <t xml:space="preserve">What I asked</t>
  </si>
  <si>
    <t xml:space="preserve">Outcome</t>
  </si>
  <si>
    <t xml:space="preserve">Next step</t>
  </si>
  <si>
    <t xml:space="preserve">Status</t>
  </si>
  <si>
    <t xml:space="preserve">2026-09-22 (example)</t>
  </si>
  <si>
    <t xml:space="preserve">Front desk</t>
  </si>
  <si>
    <t xml:space="preserve">Rental checkout rules for licensed visitor; which ship fits a tall pilot</t>
  </si>
  <si>
    <t xml:space="preserve">(example row)</t>
  </si>
  <si>
    <t xml:space="preserve">Book checkout day</t>
  </si>
  <si>
    <t xml:space="preserve">Not started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</si>
</sst>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5FA8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D8EFD9"/>
        <bgColor rgb="FFE5EEF8"/>
      </patternFill>
    </fill>
    <fill>
      <patternFill patternType="solid">
        <fgColor rgb="FFF3EFE3"/>
        <bgColor rgb="FFEEEEEE"/>
      </patternFill>
    </fill>
    <fill>
      <patternFill patternType="solid">
        <fgColor rgb="FFE5EEF8"/>
        <bgColor rgb="FFEEEEEE"/>
      </patternFill>
    </fill>
    <fill>
      <patternFill patternType="solid">
        <fgColor rgb="FFFFF3CD"/>
        <bgColor rgb="FFFFF7CC"/>
      </patternFill>
    </fill>
    <fill>
      <patternFill patternType="solid">
        <fgColor rgb="FFEEEEEE"/>
        <bgColor rgb="FFF3EFE3"/>
      </patternFill>
    </fill>
    <fill>
      <patternFill patternType="solid">
        <fgColor rgb="FFFFF7CC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FD9"/>
          <bgColor rgb="FF000000"/>
        </patternFill>
      </fill>
    </dxf>
    <dxf>
      <fill>
        <patternFill patternType="solid">
          <fgColor rgb="FFE5EEF8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3EFE3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F5FA8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5EEF8"/>
      <rgbColor rgb="FF660066"/>
      <rgbColor rgb="FFFF8080"/>
      <rgbColor rgb="FF1F5FA8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8EFD9"/>
      <rgbColor rgb="FFFFF3CD"/>
      <rgbColor rgb="FF99CCFF"/>
      <rgbColor rgb="FFFF99CC"/>
      <rgbColor rgb="FFCC99FF"/>
      <rgbColor rgb="FFF3EFE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ugarbushsoaring.com/" TargetMode="External"/><Relationship Id="rId2" Type="http://schemas.openxmlformats.org/officeDocument/2006/relationships/hyperlink" Target="https://www.soargbsc.net/" TargetMode="External"/><Relationship Id="rId3" Type="http://schemas.openxmlformats.org/officeDocument/2006/relationships/hyperlink" Target="http://www.soarmohawk.com/" TargetMode="External"/><Relationship Id="rId4" Type="http://schemas.openxmlformats.org/officeDocument/2006/relationships/hyperlink" Target="https://flypmsc.org/" TargetMode="External"/><Relationship Id="rId5" Type="http://schemas.openxmlformats.org/officeDocument/2006/relationships/hyperlink" Target="https://www.flynesa.com/" TargetMode="External"/><Relationship Id="rId6" Type="http://schemas.openxmlformats.org/officeDocument/2006/relationships/hyperlink" Target="http://www.franconiasoaring.org/" TargetMode="External"/><Relationship Id="rId7" Type="http://schemas.openxmlformats.org/officeDocument/2006/relationships/hyperlink" Target="https://www.ctsoaring.org/" TargetMode="External"/><Relationship Id="rId8" Type="http://schemas.openxmlformats.org/officeDocument/2006/relationships/hyperlink" Target="https://www.soargbsc.com/wave/MtWashBrief.pdf" TargetMode="External"/><Relationship Id="rId9" Type="http://schemas.openxmlformats.org/officeDocument/2006/relationships/hyperlink" Target="https://www.facebook.com/sanfordsoaring/" TargetMode="External"/><Relationship Id="rId10" Type="http://schemas.openxmlformats.org/officeDocument/2006/relationships/hyperlink" Target="https://www.spiritsoaring.org/" TargetMode="External"/><Relationship Id="rId11" Type="http://schemas.openxmlformats.org/officeDocument/2006/relationships/hyperlink" Target="https://www.wurtsboroairport.com/" TargetMode="External"/><Relationship Id="rId12" Type="http://schemas.openxmlformats.org/officeDocument/2006/relationships/hyperlink" Target="https://vansantairport.com/" TargetMode="External"/><Relationship Id="rId13" Type="http://schemas.openxmlformats.org/officeDocument/2006/relationships/hyperlink" Target="https://harrishillsoaring.org/" TargetMode="External"/><Relationship Id="rId14" Type="http://schemas.openxmlformats.org/officeDocument/2006/relationships/hyperlink" Target="http://pghsoar.org/" TargetMode="External"/><Relationship Id="rId15" Type="http://schemas.openxmlformats.org/officeDocument/2006/relationships/hyperlink" Target="https://www.adirondacksoaring.com/" TargetMode="External"/><Relationship Id="rId16" Type="http://schemas.openxmlformats.org/officeDocument/2006/relationships/hyperlink" Target="https://www.aeroclubalbatross.org/" TargetMode="External"/><Relationship Id="rId17" Type="http://schemas.openxmlformats.org/officeDocument/2006/relationships/hyperlink" Target="https://flsc.org/" TargetMode="External"/><Relationship Id="rId18" Type="http://schemas.openxmlformats.org/officeDocument/2006/relationships/hyperlink" Target="https://www.jerseyridgesoaring.com/" TargetMode="External"/><Relationship Id="rId19" Type="http://schemas.openxmlformats.org/officeDocument/2006/relationships/hyperlink" Target="https://www.brandywinesoaring.org/" TargetMode="External"/><Relationship Id="rId20" Type="http://schemas.openxmlformats.org/officeDocument/2006/relationships/hyperlink" Target="https://pgcsoaring.org/" TargetMode="External"/><Relationship Id="rId21" Type="http://schemas.openxmlformats.org/officeDocument/2006/relationships/hyperlink" Target="https://soaringtigers.org/" TargetMode="External"/><Relationship Id="rId22" Type="http://schemas.openxmlformats.org/officeDocument/2006/relationships/hyperlink" Target="https://longislandsoaring.com/" TargetMode="External"/><Relationship Id="rId23" Type="http://schemas.openxmlformats.org/officeDocument/2006/relationships/hyperlink" Target="https://www.skylinesoaring.org/" TargetMode="External"/><Relationship Id="rId24" Type="http://schemas.openxmlformats.org/officeDocument/2006/relationships/hyperlink" Target="https://www.brss.net/" TargetMode="External"/><Relationship Id="rId25" Type="http://schemas.openxmlformats.org/officeDocument/2006/relationships/hyperlink" Target="https://www.svsoar.org/" TargetMode="External"/><Relationship Id="rId26" Type="http://schemas.openxmlformats.org/officeDocument/2006/relationships/hyperlink" Target="https://midatlanticsoaring.org/" TargetMode="External"/><Relationship Id="rId27" Type="http://schemas.openxmlformats.org/officeDocument/2006/relationships/hyperlink" Target="https://www.easternsoaringcenter.com/" TargetMode="External"/><Relationship Id="rId28" Type="http://schemas.openxmlformats.org/officeDocument/2006/relationships/hyperlink" Target="https://tss.fyi/" TargetMode="External"/><Relationship Id="rId29" Type="http://schemas.openxmlformats.org/officeDocument/2006/relationships/hyperlink" Target="https://www.chilhowee.com/" TargetMode="External"/><Relationship Id="rId30" Type="http://schemas.openxmlformats.org/officeDocument/2006/relationships/hyperlink" Target="https://bermudahighsoaring.com/" TargetMode="External"/><Relationship Id="rId31" Type="http://schemas.openxmlformats.org/officeDocument/2006/relationships/hyperlink" Target="https://carolinasoaring.org/" TargetMode="External"/><Relationship Id="rId32" Type="http://schemas.openxmlformats.org/officeDocument/2006/relationships/hyperlink" Target="https://soaringnc.org/" TargetMode="External"/><Relationship Id="rId33" Type="http://schemas.openxmlformats.org/officeDocument/2006/relationships/hyperlink" Target="https://www.soar-mgsa.org/" TargetMode="External"/><Relationship Id="rId34" Type="http://schemas.openxmlformats.org/officeDocument/2006/relationships/hyperlink" Target="https://eaglevillesoaring.org/" TargetMode="External"/><Relationship Id="rId35" Type="http://schemas.openxmlformats.org/officeDocument/2006/relationships/hyperlink" Target="https://www.sandhillsoaring.org/" TargetMode="External"/><Relationship Id="rId36" Type="http://schemas.openxmlformats.org/officeDocument/2006/relationships/hyperlink" Target="https://skysoaring.com/" TargetMode="External"/><Relationship Id="rId37" Type="http://schemas.openxmlformats.org/officeDocument/2006/relationships/hyperlink" Target="http://www.chicagogliderclub.org/" TargetMode="External"/><Relationship Id="rId38" Type="http://schemas.openxmlformats.org/officeDocument/2006/relationships/hyperlink" Target="https://www.soarccsc.com/" TargetMode="External"/><Relationship Id="rId39" Type="http://schemas.openxmlformats.org/officeDocument/2006/relationships/hyperlink" Target="https://www.soarfl.com/" TargetMode="External"/><Relationship Id="rId40" Type="http://schemas.openxmlformats.org/officeDocument/2006/relationships/hyperlink" Target="https://www.miamigliders.com/" TargetMode="External"/><Relationship Id="rId41" Type="http://schemas.openxmlformats.org/officeDocument/2006/relationships/hyperlink" Target="https://www.tampabaysoaring.com/" TargetMode="External"/><Relationship Id="rId42" Type="http://schemas.openxmlformats.org/officeDocument/2006/relationships/hyperlink" Target="https://texassoaring.org/" TargetMode="External"/><Relationship Id="rId43" Type="http://schemas.openxmlformats.org/officeDocument/2006/relationships/hyperlink" Target="https://sites.google.com/site/soaringclubofhouston/" TargetMode="External"/><Relationship Id="rId44" Type="http://schemas.openxmlformats.org/officeDocument/2006/relationships/hyperlink" Target="https://www.faultlineflyers.com/" TargetMode="External"/><Relationship Id="rId45" Type="http://schemas.openxmlformats.org/officeDocument/2006/relationships/hyperlink" Target="https://www.milehighgliding.com/" TargetMode="External"/><Relationship Id="rId46" Type="http://schemas.openxmlformats.org/officeDocument/2006/relationships/hyperlink" Target="https://www.soarboulder.org/" TargetMode="External"/><Relationship Id="rId47" Type="http://schemas.openxmlformats.org/officeDocument/2006/relationships/hyperlink" Target="https://utahsoaring.org/" TargetMode="External"/><Relationship Id="rId48" Type="http://schemas.openxmlformats.org/officeDocument/2006/relationships/hyperlink" Target="https://azsoaring.com/" TargetMode="External"/><Relationship Id="rId49" Type="http://schemas.openxmlformats.org/officeDocument/2006/relationships/hyperlink" Target="https://www.lvvsa.org/" TargetMode="External"/><Relationship Id="rId50" Type="http://schemas.openxmlformats.org/officeDocument/2006/relationships/hyperlink" Target="https://www.merlinaviation.net/" TargetMode="External"/><Relationship Id="rId51" Type="http://schemas.openxmlformats.org/officeDocument/2006/relationships/hyperlink" Target="https://soaringnv.com/" TargetMode="External"/><Relationship Id="rId5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2" t="s">
        <v>21</v>
      </c>
    </row>
    <row r="27" customFormat="false" ht="23.8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23.85" hidden="false" customHeight="false" outlineLevel="0" collapsed="false">
      <c r="A2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26"/>
    <col collapsed="false" customWidth="true" hidden="false" outlineLevel="0" max="17" min="17" style="0" width="30"/>
    <col collapsed="false" customWidth="true" hidden="false" outlineLevel="0" max="19" min="18" style="0" width="9"/>
    <col collapsed="false" customWidth="true" hidden="false" outlineLevel="0" max="20" min="20" style="0" width="11"/>
  </cols>
  <sheetData>
    <row r="1" customFormat="false" ht="35.0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15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customFormat="false" ht="35.05" hidden="false" customHeight="false" outlineLevel="0" collapsed="false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6" t="s">
        <v>54</v>
      </c>
      <c r="L2" s="5" t="n">
        <v>1</v>
      </c>
      <c r="M2" s="5" t="n">
        <f aca="false">COUNTIF('Fleet Register'!$A:$A,A2)</f>
        <v>5</v>
      </c>
      <c r="N2" s="5" t="s">
        <v>55</v>
      </c>
      <c r="O2" s="5" t="s">
        <v>56</v>
      </c>
      <c r="P2" s="5" t="s">
        <v>57</v>
      </c>
      <c r="Q2" s="7" t="s">
        <v>58</v>
      </c>
      <c r="R2" s="5" t="n">
        <v>44.1174</v>
      </c>
      <c r="S2" s="5" t="n">
        <v>-72.827</v>
      </c>
      <c r="T2" s="5" t="s">
        <v>59</v>
      </c>
    </row>
    <row r="3" customFormat="false" ht="46.25" hidden="false" customHeight="false" outlineLevel="0" collapsed="false">
      <c r="A3" s="5" t="s">
        <v>60</v>
      </c>
      <c r="B3" s="5" t="s">
        <v>61</v>
      </c>
      <c r="C3" s="5" t="s">
        <v>62</v>
      </c>
      <c r="D3" s="5" t="s">
        <v>47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67</v>
      </c>
      <c r="J3" s="5" t="s">
        <v>68</v>
      </c>
      <c r="K3" s="8" t="s">
        <v>69</v>
      </c>
      <c r="L3" s="5" t="n">
        <v>2</v>
      </c>
      <c r="M3" s="5" t="n">
        <f aca="false">COUNTIF('Fleet Register'!$A:$A,A3)</f>
        <v>8</v>
      </c>
      <c r="N3" s="5" t="s">
        <v>70</v>
      </c>
      <c r="O3" s="5" t="s">
        <v>71</v>
      </c>
      <c r="P3" s="5" t="s">
        <v>72</v>
      </c>
      <c r="Q3" s="7" t="s">
        <v>73</v>
      </c>
      <c r="R3" s="5" t="n">
        <v>42.4259</v>
      </c>
      <c r="S3" s="5" t="n">
        <v>-71.7929</v>
      </c>
      <c r="T3" s="5" t="s">
        <v>59</v>
      </c>
    </row>
    <row r="4" customFormat="false" ht="23.85" hidden="false" customHeight="false" outlineLevel="0" collapsed="false">
      <c r="A4" s="5" t="s">
        <v>74</v>
      </c>
      <c r="B4" s="5" t="s">
        <v>75</v>
      </c>
      <c r="C4" s="5" t="s">
        <v>62</v>
      </c>
      <c r="D4" s="5" t="s">
        <v>47</v>
      </c>
      <c r="E4" s="5" t="s">
        <v>76</v>
      </c>
      <c r="F4" s="5" t="s">
        <v>77</v>
      </c>
      <c r="G4" s="5" t="s">
        <v>65</v>
      </c>
      <c r="H4" s="5" t="s">
        <v>78</v>
      </c>
      <c r="I4" s="5" t="s">
        <v>79</v>
      </c>
      <c r="J4" s="5" t="s">
        <v>80</v>
      </c>
      <c r="K4" s="9" t="s">
        <v>81</v>
      </c>
      <c r="L4" s="5" t="n">
        <v>3</v>
      </c>
      <c r="M4" s="5" t="n">
        <f aca="false">COUNTIF('Fleet Register'!$A:$A,A4)</f>
        <v>6</v>
      </c>
      <c r="N4" s="5" t="s">
        <v>82</v>
      </c>
      <c r="O4" s="5" t="s">
        <v>83</v>
      </c>
      <c r="P4" s="5" t="s">
        <v>84</v>
      </c>
      <c r="Q4" s="7" t="s">
        <v>85</v>
      </c>
      <c r="R4" s="5" t="n">
        <v>42.6963</v>
      </c>
      <c r="S4" s="5" t="n">
        <v>-73.1706</v>
      </c>
      <c r="T4" s="5" t="s">
        <v>59</v>
      </c>
    </row>
    <row r="5" customFormat="false" ht="35.05" hidden="false" customHeight="false" outlineLevel="0" collapsed="false">
      <c r="A5" s="5" t="s">
        <v>86</v>
      </c>
      <c r="B5" s="5" t="s">
        <v>87</v>
      </c>
      <c r="C5" s="5" t="s">
        <v>62</v>
      </c>
      <c r="D5" s="5" t="s">
        <v>47</v>
      </c>
      <c r="E5" s="5" t="s">
        <v>88</v>
      </c>
      <c r="F5" s="5" t="s">
        <v>89</v>
      </c>
      <c r="G5" s="5" t="s">
        <v>65</v>
      </c>
      <c r="H5" s="5" t="s">
        <v>90</v>
      </c>
      <c r="I5" s="5" t="s">
        <v>67</v>
      </c>
      <c r="J5" s="5" t="s">
        <v>91</v>
      </c>
      <c r="K5" s="8" t="s">
        <v>69</v>
      </c>
      <c r="L5" s="5" t="n">
        <v>4</v>
      </c>
      <c r="M5" s="5" t="n">
        <f aca="false">COUNTIF('Fleet Register'!$A:$A,A5)</f>
        <v>4</v>
      </c>
      <c r="N5" s="5" t="s">
        <v>92</v>
      </c>
      <c r="O5" s="5" t="s">
        <v>93</v>
      </c>
      <c r="P5" s="5" t="s">
        <v>94</v>
      </c>
      <c r="Q5" s="7" t="s">
        <v>95</v>
      </c>
      <c r="R5" s="5" t="n">
        <v>43.8837</v>
      </c>
      <c r="S5" s="5" t="n">
        <v>-72.2521</v>
      </c>
      <c r="T5" s="5" t="s">
        <v>59</v>
      </c>
    </row>
    <row r="6" customFormat="false" ht="35.05" hidden="false" customHeight="false" outlineLevel="0" collapsed="false">
      <c r="A6" s="5" t="s">
        <v>96</v>
      </c>
      <c r="B6" s="5" t="s">
        <v>97</v>
      </c>
      <c r="C6" s="5" t="s">
        <v>62</v>
      </c>
      <c r="D6" s="5" t="s">
        <v>47</v>
      </c>
      <c r="E6" s="5" t="s">
        <v>98</v>
      </c>
      <c r="F6" s="5" t="s">
        <v>99</v>
      </c>
      <c r="G6" s="5" t="s">
        <v>65</v>
      </c>
      <c r="H6" s="5" t="s">
        <v>100</v>
      </c>
      <c r="I6" s="5" t="s">
        <v>67</v>
      </c>
      <c r="J6" s="5" t="s">
        <v>101</v>
      </c>
      <c r="K6" s="8" t="s">
        <v>69</v>
      </c>
      <c r="L6" s="5" t="n">
        <v>5</v>
      </c>
      <c r="M6" s="5" t="n">
        <f aca="false">COUNTIF('Fleet Register'!$A:$A,A6)</f>
        <v>4</v>
      </c>
      <c r="N6" s="5" t="s">
        <v>82</v>
      </c>
      <c r="O6" s="5" t="s">
        <v>102</v>
      </c>
      <c r="P6" s="5" t="s">
        <v>103</v>
      </c>
      <c r="Q6" s="7" t="s">
        <v>104</v>
      </c>
      <c r="R6" s="5" t="n">
        <v>43.3437</v>
      </c>
      <c r="S6" s="5" t="n">
        <v>-72.5173</v>
      </c>
      <c r="T6" s="5" t="s">
        <v>59</v>
      </c>
    </row>
    <row r="7" customFormat="false" ht="23.85" hidden="false" customHeight="false" outlineLevel="0" collapsed="false">
      <c r="A7" s="5" t="s">
        <v>105</v>
      </c>
      <c r="B7" s="5" t="s">
        <v>106</v>
      </c>
      <c r="C7" s="5" t="s">
        <v>62</v>
      </c>
      <c r="D7" s="5" t="s">
        <v>47</v>
      </c>
      <c r="E7" s="5" t="s">
        <v>107</v>
      </c>
      <c r="F7" s="5" t="s">
        <v>108</v>
      </c>
      <c r="G7" s="5" t="s">
        <v>65</v>
      </c>
      <c r="H7" s="5" t="s">
        <v>109</v>
      </c>
      <c r="I7" s="5" t="s">
        <v>110</v>
      </c>
      <c r="J7" s="5" t="s">
        <v>111</v>
      </c>
      <c r="K7" s="10" t="s">
        <v>112</v>
      </c>
      <c r="L7" s="5" t="n">
        <v>6</v>
      </c>
      <c r="M7" s="5" t="n">
        <f aca="false">COUNTIF('Fleet Register'!$A:$A,A7)</f>
        <v>7</v>
      </c>
      <c r="N7" s="5" t="s">
        <v>113</v>
      </c>
      <c r="O7" s="5" t="s">
        <v>114</v>
      </c>
      <c r="P7" s="5" t="s">
        <v>115</v>
      </c>
      <c r="Q7" s="7" t="s">
        <v>116</v>
      </c>
      <c r="R7" s="5" t="n">
        <v>44.196</v>
      </c>
      <c r="S7" s="5" t="n">
        <v>-71.7507</v>
      </c>
      <c r="T7" s="5" t="s">
        <v>59</v>
      </c>
    </row>
    <row r="8" customFormat="false" ht="23.85" hidden="false" customHeight="false" outlineLevel="0" collapsed="false">
      <c r="A8" s="5" t="s">
        <v>117</v>
      </c>
      <c r="B8" s="5" t="s">
        <v>118</v>
      </c>
      <c r="C8" s="5" t="s">
        <v>62</v>
      </c>
      <c r="D8" s="5" t="s">
        <v>47</v>
      </c>
      <c r="E8" s="5" t="s">
        <v>119</v>
      </c>
      <c r="F8" s="5" t="s">
        <v>120</v>
      </c>
      <c r="G8" s="5" t="s">
        <v>65</v>
      </c>
      <c r="H8" s="5" t="s">
        <v>121</v>
      </c>
      <c r="I8" s="5" t="s">
        <v>67</v>
      </c>
      <c r="J8" s="5" t="s">
        <v>122</v>
      </c>
      <c r="K8" s="8" t="s">
        <v>69</v>
      </c>
      <c r="L8" s="5" t="n">
        <v>7</v>
      </c>
      <c r="M8" s="5" t="n">
        <f aca="false">COUNTIF('Fleet Register'!$A:$A,A8)</f>
        <v>4</v>
      </c>
      <c r="N8" s="5" t="s">
        <v>123</v>
      </c>
      <c r="O8" s="5" t="s">
        <v>124</v>
      </c>
      <c r="P8" s="5" t="s">
        <v>57</v>
      </c>
      <c r="Q8" s="7" t="s">
        <v>125</v>
      </c>
      <c r="R8" s="5" t="n">
        <v>41.744</v>
      </c>
      <c r="S8" s="5" t="n">
        <v>-72.1802</v>
      </c>
      <c r="T8" s="5" t="s">
        <v>59</v>
      </c>
    </row>
    <row r="9" customFormat="false" ht="23.85" hidden="false" customHeight="false" outlineLevel="0" collapsed="false">
      <c r="A9" s="5" t="s">
        <v>126</v>
      </c>
      <c r="B9" s="5" t="s">
        <v>127</v>
      </c>
      <c r="C9" s="5" t="s">
        <v>128</v>
      </c>
      <c r="D9" s="5" t="s">
        <v>47</v>
      </c>
      <c r="E9" s="5" t="s">
        <v>129</v>
      </c>
      <c r="F9" s="5" t="s">
        <v>130</v>
      </c>
      <c r="G9" s="5" t="s">
        <v>50</v>
      </c>
      <c r="H9" s="5" t="s">
        <v>131</v>
      </c>
      <c r="I9" s="5" t="s">
        <v>132</v>
      </c>
      <c r="J9" s="5" t="s">
        <v>133</v>
      </c>
      <c r="K9" s="8" t="s">
        <v>69</v>
      </c>
      <c r="L9" s="5"/>
      <c r="M9" s="5" t="n">
        <f aca="false">COUNTIF('Fleet Register'!$A:$A,A9)</f>
        <v>0</v>
      </c>
      <c r="N9" s="5" t="s">
        <v>134</v>
      </c>
      <c r="O9" s="5" t="s">
        <v>134</v>
      </c>
      <c r="P9" s="5" t="s">
        <v>135</v>
      </c>
      <c r="Q9" s="7" t="s">
        <v>136</v>
      </c>
      <c r="R9" s="5" t="n">
        <v>44.3931</v>
      </c>
      <c r="S9" s="5" t="n">
        <v>-71.1967</v>
      </c>
      <c r="T9" s="5" t="s">
        <v>59</v>
      </c>
    </row>
    <row r="10" customFormat="false" ht="15" hidden="false" customHeight="false" outlineLevel="0" collapsed="false">
      <c r="A10" s="5" t="s">
        <v>137</v>
      </c>
      <c r="B10" s="5" t="s">
        <v>138</v>
      </c>
      <c r="C10" s="5" t="s">
        <v>139</v>
      </c>
      <c r="D10" s="5" t="s">
        <v>47</v>
      </c>
      <c r="E10" s="5" t="s">
        <v>140</v>
      </c>
      <c r="F10" s="5" t="s">
        <v>141</v>
      </c>
      <c r="G10" s="5" t="s">
        <v>65</v>
      </c>
      <c r="H10" s="5" t="s">
        <v>142</v>
      </c>
      <c r="I10" s="5" t="s">
        <v>143</v>
      </c>
      <c r="J10" s="5" t="s">
        <v>144</v>
      </c>
      <c r="K10" s="11" t="s">
        <v>145</v>
      </c>
      <c r="L10" s="5"/>
      <c r="M10" s="5" t="n">
        <f aca="false">COUNTIF('Fleet Register'!$A:$A,A10)</f>
        <v>0</v>
      </c>
      <c r="N10" s="5"/>
      <c r="O10" s="5"/>
      <c r="P10" s="5"/>
      <c r="Q10" s="7" t="s">
        <v>146</v>
      </c>
      <c r="R10" s="5" t="n">
        <v>43.3938</v>
      </c>
      <c r="S10" s="5" t="n">
        <v>-70.708</v>
      </c>
      <c r="T10" s="5" t="s">
        <v>59</v>
      </c>
    </row>
    <row r="11" customFormat="false" ht="23.85" hidden="false" customHeight="false" outlineLevel="0" collapsed="false">
      <c r="A11" s="5" t="s">
        <v>147</v>
      </c>
      <c r="B11" s="5" t="s">
        <v>148</v>
      </c>
      <c r="C11" s="5" t="s">
        <v>149</v>
      </c>
      <c r="D11" s="5" t="s">
        <v>47</v>
      </c>
      <c r="E11" s="5" t="s">
        <v>150</v>
      </c>
      <c r="F11" s="5" t="s">
        <v>151</v>
      </c>
      <c r="G11" s="5" t="s">
        <v>50</v>
      </c>
      <c r="H11" s="5" t="s">
        <v>152</v>
      </c>
      <c r="I11" s="5" t="s">
        <v>153</v>
      </c>
      <c r="J11" s="5" t="s">
        <v>144</v>
      </c>
      <c r="K11" s="11" t="s">
        <v>145</v>
      </c>
      <c r="L11" s="5"/>
      <c r="M11" s="5" t="n">
        <f aca="false">COUNTIF('Fleet Register'!$A:$A,A11)</f>
        <v>0</v>
      </c>
      <c r="N11" s="5"/>
      <c r="O11" s="5"/>
      <c r="P11" s="5" t="s">
        <v>154</v>
      </c>
      <c r="Q11" s="7" t="s">
        <v>155</v>
      </c>
      <c r="R11" s="5" t="n">
        <v>44.0601</v>
      </c>
      <c r="S11" s="5" t="n">
        <v>-69.0997</v>
      </c>
      <c r="T11" s="5" t="s">
        <v>59</v>
      </c>
    </row>
    <row r="12" customFormat="false" ht="23.85" hidden="false" customHeight="false" outlineLevel="0" collapsed="false">
      <c r="A12" s="5" t="s">
        <v>156</v>
      </c>
      <c r="B12" s="5" t="s">
        <v>157</v>
      </c>
      <c r="C12" s="5" t="s">
        <v>149</v>
      </c>
      <c r="D12" s="5" t="s">
        <v>158</v>
      </c>
      <c r="E12" s="5" t="s">
        <v>159</v>
      </c>
      <c r="F12" s="5" t="s">
        <v>160</v>
      </c>
      <c r="G12" s="5" t="s">
        <v>50</v>
      </c>
      <c r="H12" s="5" t="s">
        <v>161</v>
      </c>
      <c r="I12" s="5" t="s">
        <v>162</v>
      </c>
      <c r="J12" s="5" t="s">
        <v>163</v>
      </c>
      <c r="K12" s="6" t="s">
        <v>54</v>
      </c>
      <c r="L12" s="5" t="n">
        <v>1</v>
      </c>
      <c r="M12" s="5" t="n">
        <f aca="false">COUNTIF('Fleet Register'!$A:$A,A12)</f>
        <v>4</v>
      </c>
      <c r="N12" s="5" t="s">
        <v>164</v>
      </c>
      <c r="O12" s="5" t="s">
        <v>165</v>
      </c>
      <c r="P12" s="5" t="s">
        <v>57</v>
      </c>
      <c r="Q12" s="7" t="s">
        <v>166</v>
      </c>
      <c r="R12" s="5" t="n">
        <v>41.5972</v>
      </c>
      <c r="S12" s="5" t="n">
        <v>-74.4583</v>
      </c>
      <c r="T12" s="5" t="s">
        <v>59</v>
      </c>
    </row>
    <row r="13" customFormat="false" ht="15" hidden="false" customHeight="false" outlineLevel="0" collapsed="false">
      <c r="A13" s="5" t="s">
        <v>167</v>
      </c>
      <c r="B13" s="5" t="s">
        <v>168</v>
      </c>
      <c r="C13" s="5" t="s">
        <v>149</v>
      </c>
      <c r="D13" s="5" t="s">
        <v>158</v>
      </c>
      <c r="E13" s="5" t="s">
        <v>169</v>
      </c>
      <c r="F13" s="5" t="s">
        <v>170</v>
      </c>
      <c r="G13" s="5" t="s">
        <v>171</v>
      </c>
      <c r="H13" s="5" t="s">
        <v>172</v>
      </c>
      <c r="I13" s="5" t="s">
        <v>173</v>
      </c>
      <c r="J13" s="5" t="s">
        <v>174</v>
      </c>
      <c r="K13" s="6" t="s">
        <v>54</v>
      </c>
      <c r="L13" s="5" t="n">
        <v>2</v>
      </c>
      <c r="M13" s="5" t="n">
        <f aca="false">COUNTIF('Fleet Register'!$A:$A,A13)</f>
        <v>2</v>
      </c>
      <c r="N13" s="5" t="s">
        <v>175</v>
      </c>
      <c r="O13" s="5"/>
      <c r="P13" s="5" t="s">
        <v>176</v>
      </c>
      <c r="Q13" s="7" t="s">
        <v>177</v>
      </c>
      <c r="R13" s="5" t="n">
        <v>40.4842</v>
      </c>
      <c r="S13" s="5" t="n">
        <v>-75.0997</v>
      </c>
      <c r="T13" s="5" t="s">
        <v>59</v>
      </c>
    </row>
    <row r="14" customFormat="false" ht="35.05" hidden="false" customHeight="false" outlineLevel="0" collapsed="false">
      <c r="A14" s="5" t="s">
        <v>178</v>
      </c>
      <c r="B14" s="5" t="s">
        <v>179</v>
      </c>
      <c r="C14" s="5" t="s">
        <v>62</v>
      </c>
      <c r="D14" s="5" t="s">
        <v>158</v>
      </c>
      <c r="E14" s="5" t="s">
        <v>180</v>
      </c>
      <c r="F14" s="5" t="s">
        <v>181</v>
      </c>
      <c r="G14" s="5" t="s">
        <v>171</v>
      </c>
      <c r="H14" s="5" t="s">
        <v>182</v>
      </c>
      <c r="I14" s="5" t="s">
        <v>183</v>
      </c>
      <c r="J14" s="5" t="s">
        <v>184</v>
      </c>
      <c r="K14" s="9" t="s">
        <v>81</v>
      </c>
      <c r="L14" s="5" t="n">
        <v>3</v>
      </c>
      <c r="M14" s="5" t="n">
        <f aca="false">COUNTIF('Fleet Register'!$A:$A,A14)</f>
        <v>7</v>
      </c>
      <c r="N14" s="5" t="s">
        <v>185</v>
      </c>
      <c r="O14" s="5" t="s">
        <v>186</v>
      </c>
      <c r="P14" s="5"/>
      <c r="Q14" s="7" t="s">
        <v>187</v>
      </c>
      <c r="R14" s="5" t="n">
        <v>42.1209</v>
      </c>
      <c r="S14" s="5" t="n">
        <v>-76.9011</v>
      </c>
      <c r="T14" s="5" t="s">
        <v>59</v>
      </c>
    </row>
    <row r="15" customFormat="false" ht="23.85" hidden="false" customHeight="false" outlineLevel="0" collapsed="false">
      <c r="A15" s="5" t="s">
        <v>188</v>
      </c>
      <c r="B15" s="5" t="s">
        <v>189</v>
      </c>
      <c r="C15" s="5" t="s">
        <v>62</v>
      </c>
      <c r="D15" s="5" t="s">
        <v>158</v>
      </c>
      <c r="E15" s="5" t="s">
        <v>190</v>
      </c>
      <c r="F15" s="5" t="s">
        <v>191</v>
      </c>
      <c r="G15" s="5" t="s">
        <v>171</v>
      </c>
      <c r="H15" s="5" t="s">
        <v>192</v>
      </c>
      <c r="I15" s="5" t="s">
        <v>67</v>
      </c>
      <c r="J15" s="5" t="s">
        <v>193</v>
      </c>
      <c r="K15" s="9" t="s">
        <v>81</v>
      </c>
      <c r="L15" s="5" t="n">
        <v>4</v>
      </c>
      <c r="M15" s="5" t="n">
        <f aca="false">COUNTIF('Fleet Register'!$A:$A,A15)</f>
        <v>3</v>
      </c>
      <c r="N15" s="5"/>
      <c r="O15" s="5"/>
      <c r="P15" s="5"/>
      <c r="Q15" s="7" t="s">
        <v>194</v>
      </c>
      <c r="R15" s="5" t="n">
        <v>39.9</v>
      </c>
      <c r="S15" s="5" t="n">
        <v>-80.133</v>
      </c>
      <c r="T15" s="5" t="s">
        <v>59</v>
      </c>
    </row>
    <row r="16" customFormat="false" ht="23.85" hidden="false" customHeight="false" outlineLevel="0" collapsed="false">
      <c r="A16" s="5" t="s">
        <v>195</v>
      </c>
      <c r="B16" s="5" t="s">
        <v>196</v>
      </c>
      <c r="C16" s="5" t="s">
        <v>62</v>
      </c>
      <c r="D16" s="5" t="s">
        <v>158</v>
      </c>
      <c r="E16" s="5" t="s">
        <v>197</v>
      </c>
      <c r="F16" s="5" t="s">
        <v>198</v>
      </c>
      <c r="G16" s="5" t="s">
        <v>65</v>
      </c>
      <c r="H16" s="5" t="s">
        <v>199</v>
      </c>
      <c r="I16" s="5" t="s">
        <v>173</v>
      </c>
      <c r="J16" s="5" t="s">
        <v>200</v>
      </c>
      <c r="K16" s="9" t="s">
        <v>81</v>
      </c>
      <c r="L16" s="5" t="n">
        <v>5</v>
      </c>
      <c r="M16" s="5" t="n">
        <f aca="false">COUNTIF('Fleet Register'!$A:$A,A16)</f>
        <v>4</v>
      </c>
      <c r="N16" s="5" t="s">
        <v>201</v>
      </c>
      <c r="O16" s="5" t="s">
        <v>202</v>
      </c>
      <c r="P16" s="5" t="s">
        <v>203</v>
      </c>
      <c r="Q16" s="7" t="s">
        <v>204</v>
      </c>
      <c r="R16" s="5" t="n">
        <v>43.0512</v>
      </c>
      <c r="S16" s="5" t="n">
        <v>-73.8612</v>
      </c>
      <c r="T16" s="5" t="s">
        <v>59</v>
      </c>
    </row>
    <row r="17" customFormat="false" ht="23.85" hidden="false" customHeight="false" outlineLevel="0" collapsed="false">
      <c r="A17" s="5" t="s">
        <v>205</v>
      </c>
      <c r="B17" s="5" t="s">
        <v>206</v>
      </c>
      <c r="C17" s="5" t="s">
        <v>62</v>
      </c>
      <c r="D17" s="5" t="s">
        <v>158</v>
      </c>
      <c r="E17" s="5" t="s">
        <v>207</v>
      </c>
      <c r="F17" s="5" t="s">
        <v>208</v>
      </c>
      <c r="G17" s="5" t="s">
        <v>209</v>
      </c>
      <c r="H17" s="5" t="s">
        <v>210</v>
      </c>
      <c r="I17" s="5" t="s">
        <v>211</v>
      </c>
      <c r="J17" s="5" t="s">
        <v>212</v>
      </c>
      <c r="K17" s="8" t="s">
        <v>69</v>
      </c>
      <c r="L17" s="5" t="n">
        <v>6</v>
      </c>
      <c r="M17" s="5" t="n">
        <f aca="false">COUNTIF('Fleet Register'!$A:$A,A17)</f>
        <v>8</v>
      </c>
      <c r="N17" s="5" t="s">
        <v>213</v>
      </c>
      <c r="O17" s="5" t="s">
        <v>214</v>
      </c>
      <c r="P17" s="5" t="s">
        <v>57</v>
      </c>
      <c r="Q17" s="7" t="s">
        <v>215</v>
      </c>
      <c r="R17" s="5" t="n">
        <v>40.9712</v>
      </c>
      <c r="S17" s="5" t="n">
        <v>-74.9975</v>
      </c>
      <c r="T17" s="5" t="s">
        <v>59</v>
      </c>
    </row>
    <row r="18" customFormat="false" ht="23.85" hidden="false" customHeight="false" outlineLevel="0" collapsed="false">
      <c r="A18" s="5" t="s">
        <v>216</v>
      </c>
      <c r="B18" s="5" t="s">
        <v>217</v>
      </c>
      <c r="C18" s="5" t="s">
        <v>62</v>
      </c>
      <c r="D18" s="5" t="s">
        <v>158</v>
      </c>
      <c r="E18" s="5" t="s">
        <v>218</v>
      </c>
      <c r="F18" s="5" t="s">
        <v>219</v>
      </c>
      <c r="G18" s="5" t="s">
        <v>171</v>
      </c>
      <c r="H18" s="5" t="s">
        <v>220</v>
      </c>
      <c r="I18" s="5" t="s">
        <v>67</v>
      </c>
      <c r="J18" s="5" t="s">
        <v>221</v>
      </c>
      <c r="K18" s="9" t="s">
        <v>81</v>
      </c>
      <c r="L18" s="5" t="n">
        <v>7</v>
      </c>
      <c r="M18" s="5" t="n">
        <f aca="false">COUNTIF('Fleet Register'!$A:$A,A18)</f>
        <v>5</v>
      </c>
      <c r="N18" s="5" t="s">
        <v>222</v>
      </c>
      <c r="O18" s="5" t="s">
        <v>223</v>
      </c>
      <c r="P18" s="5" t="s">
        <v>224</v>
      </c>
      <c r="Q18" s="7" t="s">
        <v>225</v>
      </c>
      <c r="R18" s="5" t="n">
        <v>42.571</v>
      </c>
      <c r="S18" s="5" t="n">
        <v>-77.713</v>
      </c>
      <c r="T18" s="5" t="s">
        <v>59</v>
      </c>
    </row>
    <row r="19" customFormat="false" ht="35.05" hidden="false" customHeight="false" outlineLevel="0" collapsed="false">
      <c r="A19" s="5" t="s">
        <v>226</v>
      </c>
      <c r="B19" s="5" t="s">
        <v>227</v>
      </c>
      <c r="C19" s="5" t="s">
        <v>149</v>
      </c>
      <c r="D19" s="5" t="s">
        <v>158</v>
      </c>
      <c r="E19" s="5" t="s">
        <v>228</v>
      </c>
      <c r="F19" s="5" t="s">
        <v>208</v>
      </c>
      <c r="G19" s="5" t="s">
        <v>209</v>
      </c>
      <c r="H19" s="5" t="s">
        <v>229</v>
      </c>
      <c r="I19" s="5" t="s">
        <v>230</v>
      </c>
      <c r="J19" s="5" t="s">
        <v>231</v>
      </c>
      <c r="K19" s="10" t="s">
        <v>112</v>
      </c>
      <c r="L19" s="5" t="n">
        <v>8</v>
      </c>
      <c r="M19" s="5" t="n">
        <f aca="false">COUNTIF('Fleet Register'!$A:$A,A19)</f>
        <v>4</v>
      </c>
      <c r="N19" s="5" t="s">
        <v>232</v>
      </c>
      <c r="O19" s="5" t="s">
        <v>233</v>
      </c>
      <c r="P19" s="5" t="s">
        <v>234</v>
      </c>
      <c r="Q19" s="7" t="s">
        <v>235</v>
      </c>
      <c r="R19" s="5" t="n">
        <v>40.973</v>
      </c>
      <c r="S19" s="5" t="n">
        <v>-74.995</v>
      </c>
      <c r="T19" s="5" t="s">
        <v>59</v>
      </c>
    </row>
    <row r="20" customFormat="false" ht="23.85" hidden="false" customHeight="false" outlineLevel="0" collapsed="false">
      <c r="A20" s="5" t="s">
        <v>236</v>
      </c>
      <c r="B20" s="5" t="s">
        <v>237</v>
      </c>
      <c r="C20" s="5" t="s">
        <v>62</v>
      </c>
      <c r="D20" s="5" t="s">
        <v>158</v>
      </c>
      <c r="E20" s="5" t="s">
        <v>238</v>
      </c>
      <c r="F20" s="5" t="s">
        <v>239</v>
      </c>
      <c r="G20" s="5" t="s">
        <v>171</v>
      </c>
      <c r="H20" s="5" t="s">
        <v>240</v>
      </c>
      <c r="I20" s="5" t="s">
        <v>67</v>
      </c>
      <c r="J20" s="5" t="s">
        <v>241</v>
      </c>
      <c r="K20" s="9" t="s">
        <v>81</v>
      </c>
      <c r="L20" s="5" t="n">
        <v>9</v>
      </c>
      <c r="M20" s="5" t="n">
        <f aca="false">COUNTIF('Fleet Register'!$A:$A,A20)</f>
        <v>4</v>
      </c>
      <c r="N20" s="5"/>
      <c r="O20" s="5" t="s">
        <v>242</v>
      </c>
      <c r="P20" s="5"/>
      <c r="Q20" s="7" t="s">
        <v>243</v>
      </c>
      <c r="R20" s="5" t="n">
        <v>39.831</v>
      </c>
      <c r="S20" s="5" t="n">
        <v>-75.77</v>
      </c>
      <c r="T20" s="5" t="s">
        <v>59</v>
      </c>
    </row>
    <row r="21" customFormat="false" ht="23.85" hidden="false" customHeight="false" outlineLevel="0" collapsed="false">
      <c r="A21" s="5" t="s">
        <v>244</v>
      </c>
      <c r="B21" s="5" t="s">
        <v>245</v>
      </c>
      <c r="C21" s="5" t="s">
        <v>62</v>
      </c>
      <c r="D21" s="5" t="s">
        <v>158</v>
      </c>
      <c r="E21" s="5" t="s">
        <v>246</v>
      </c>
      <c r="F21" s="5" t="s">
        <v>247</v>
      </c>
      <c r="G21" s="5" t="s">
        <v>50</v>
      </c>
      <c r="H21" s="5" t="s">
        <v>248</v>
      </c>
      <c r="I21" s="5" t="s">
        <v>67</v>
      </c>
      <c r="J21" s="5" t="s">
        <v>249</v>
      </c>
      <c r="K21" s="10" t="s">
        <v>112</v>
      </c>
      <c r="L21" s="5" t="n">
        <v>10</v>
      </c>
      <c r="M21" s="5" t="n">
        <f aca="false">COUNTIF('Fleet Register'!$A:$A,A21)</f>
        <v>4</v>
      </c>
      <c r="N21" s="5" t="s">
        <v>250</v>
      </c>
      <c r="O21" s="5"/>
      <c r="P21" s="5"/>
      <c r="Q21" s="5" t="s">
        <v>251</v>
      </c>
      <c r="R21" s="5" t="n">
        <v>41.4319</v>
      </c>
      <c r="S21" s="5" t="n">
        <v>-74.3916</v>
      </c>
      <c r="T21" s="5" t="s">
        <v>59</v>
      </c>
    </row>
    <row r="22" customFormat="false" ht="23.85" hidden="false" customHeight="false" outlineLevel="0" collapsed="false">
      <c r="A22" s="5" t="s">
        <v>252</v>
      </c>
      <c r="B22" s="5" t="s">
        <v>253</v>
      </c>
      <c r="C22" s="5" t="s">
        <v>62</v>
      </c>
      <c r="D22" s="5" t="s">
        <v>158</v>
      </c>
      <c r="E22" s="5" t="s">
        <v>254</v>
      </c>
      <c r="F22" s="5" t="s">
        <v>255</v>
      </c>
      <c r="G22" s="5" t="s">
        <v>171</v>
      </c>
      <c r="H22" s="5" t="s">
        <v>240</v>
      </c>
      <c r="I22" s="5" t="s">
        <v>67</v>
      </c>
      <c r="J22" s="5" t="s">
        <v>193</v>
      </c>
      <c r="K22" s="8" t="s">
        <v>69</v>
      </c>
      <c r="L22" s="5" t="n">
        <v>11</v>
      </c>
      <c r="M22" s="5" t="n">
        <f aca="false">COUNTIF('Fleet Register'!$A:$A,A22)</f>
        <v>4</v>
      </c>
      <c r="N22" s="5" t="s">
        <v>256</v>
      </c>
      <c r="O22" s="5"/>
      <c r="P22" s="5"/>
      <c r="Q22" s="7" t="s">
        <v>257</v>
      </c>
      <c r="R22" s="5" t="n">
        <v>40.3312</v>
      </c>
      <c r="S22" s="5" t="n">
        <v>-75.2481</v>
      </c>
      <c r="T22" s="5" t="s">
        <v>59</v>
      </c>
    </row>
    <row r="23" customFormat="false" ht="15" hidden="false" customHeight="false" outlineLevel="0" collapsed="false">
      <c r="A23" s="5" t="s">
        <v>258</v>
      </c>
      <c r="B23" s="5" t="s">
        <v>259</v>
      </c>
      <c r="C23" s="5" t="s">
        <v>62</v>
      </c>
      <c r="D23" s="5" t="s">
        <v>158</v>
      </c>
      <c r="E23" s="5" t="s">
        <v>169</v>
      </c>
      <c r="F23" s="5" t="s">
        <v>170</v>
      </c>
      <c r="G23" s="5" t="s">
        <v>171</v>
      </c>
      <c r="H23" s="5" t="s">
        <v>260</v>
      </c>
      <c r="I23" s="5" t="s">
        <v>67</v>
      </c>
      <c r="J23" s="5" t="s">
        <v>261</v>
      </c>
      <c r="K23" s="8" t="s">
        <v>69</v>
      </c>
      <c r="L23" s="5" t="n">
        <v>13</v>
      </c>
      <c r="M23" s="5" t="n">
        <f aca="false">COUNTIF('Fleet Register'!$A:$A,A23)</f>
        <v>3</v>
      </c>
      <c r="N23" s="5" t="s">
        <v>175</v>
      </c>
      <c r="O23" s="5"/>
      <c r="P23" s="5"/>
      <c r="Q23" s="7" t="s">
        <v>262</v>
      </c>
      <c r="R23" s="5" t="n">
        <v>40.486</v>
      </c>
      <c r="S23" s="5" t="n">
        <v>-75.0975</v>
      </c>
      <c r="T23" s="5" t="s">
        <v>59</v>
      </c>
    </row>
    <row r="24" customFormat="false" ht="23.85" hidden="false" customHeight="false" outlineLevel="0" collapsed="false">
      <c r="A24" s="5" t="s">
        <v>263</v>
      </c>
      <c r="B24" s="5" t="s">
        <v>264</v>
      </c>
      <c r="C24" s="5" t="s">
        <v>62</v>
      </c>
      <c r="D24" s="5" t="s">
        <v>158</v>
      </c>
      <c r="E24" s="5" t="s">
        <v>265</v>
      </c>
      <c r="F24" s="5" t="s">
        <v>266</v>
      </c>
      <c r="G24" s="5" t="s">
        <v>209</v>
      </c>
      <c r="H24" s="5" t="s">
        <v>267</v>
      </c>
      <c r="I24" s="5" t="s">
        <v>268</v>
      </c>
      <c r="J24" s="5" t="s">
        <v>269</v>
      </c>
      <c r="K24" s="8" t="s">
        <v>69</v>
      </c>
      <c r="L24" s="5" t="n">
        <v>14</v>
      </c>
      <c r="M24" s="5" t="n">
        <f aca="false">COUNTIF('Fleet Register'!$A:$A,A24)</f>
        <v>3</v>
      </c>
      <c r="N24" s="5" t="s">
        <v>270</v>
      </c>
      <c r="O24" s="5"/>
      <c r="P24" s="5"/>
      <c r="Q24" s="7" t="s">
        <v>271</v>
      </c>
      <c r="R24" s="5" t="n">
        <v>40.822</v>
      </c>
      <c r="S24" s="5" t="n">
        <v>-72.869</v>
      </c>
      <c r="T24" s="5" t="s">
        <v>59</v>
      </c>
    </row>
    <row r="25" customFormat="false" ht="35.05" hidden="false" customHeight="false" outlineLevel="0" collapsed="false">
      <c r="A25" s="5" t="s">
        <v>272</v>
      </c>
      <c r="B25" s="5" t="s">
        <v>273</v>
      </c>
      <c r="C25" s="5" t="s">
        <v>62</v>
      </c>
      <c r="D25" s="5" t="s">
        <v>274</v>
      </c>
      <c r="E25" s="5" t="s">
        <v>275</v>
      </c>
      <c r="F25" s="5" t="s">
        <v>276</v>
      </c>
      <c r="G25" s="5" t="s">
        <v>171</v>
      </c>
      <c r="H25" s="5" t="s">
        <v>277</v>
      </c>
      <c r="I25" s="5" t="s">
        <v>278</v>
      </c>
      <c r="J25" s="5" t="s">
        <v>279</v>
      </c>
      <c r="K25" s="9" t="s">
        <v>81</v>
      </c>
      <c r="L25" s="5" t="n">
        <v>2</v>
      </c>
      <c r="M25" s="5" t="n">
        <f aca="false">COUNTIF('Fleet Register'!$A:$A,A25)</f>
        <v>3</v>
      </c>
      <c r="N25" s="5"/>
      <c r="O25" s="5" t="s">
        <v>280</v>
      </c>
      <c r="P25" s="5"/>
      <c r="Q25" s="7" t="s">
        <v>281</v>
      </c>
      <c r="R25" s="5" t="n">
        <v>38.9175</v>
      </c>
      <c r="S25" s="5" t="n">
        <v>-78.2535</v>
      </c>
      <c r="T25" s="5" t="s">
        <v>59</v>
      </c>
    </row>
    <row r="26" customFormat="false" ht="23.85" hidden="false" customHeight="false" outlineLevel="0" collapsed="false">
      <c r="A26" s="5" t="s">
        <v>282</v>
      </c>
      <c r="B26" s="5" t="s">
        <v>283</v>
      </c>
      <c r="C26" s="5" t="s">
        <v>62</v>
      </c>
      <c r="D26" s="5" t="s">
        <v>274</v>
      </c>
      <c r="E26" s="5" t="s">
        <v>284</v>
      </c>
      <c r="F26" s="5" t="s">
        <v>285</v>
      </c>
      <c r="G26" s="5" t="s">
        <v>171</v>
      </c>
      <c r="H26" s="5" t="s">
        <v>286</v>
      </c>
      <c r="I26" s="5" t="s">
        <v>287</v>
      </c>
      <c r="J26" s="5" t="s">
        <v>193</v>
      </c>
      <c r="K26" s="9" t="s">
        <v>81</v>
      </c>
      <c r="L26" s="5" t="n">
        <v>5</v>
      </c>
      <c r="M26" s="5" t="n">
        <f aca="false">COUNTIF('Fleet Register'!$A:$A,A26)</f>
        <v>2</v>
      </c>
      <c r="N26" s="5" t="s">
        <v>288</v>
      </c>
      <c r="O26" s="5" t="s">
        <v>102</v>
      </c>
      <c r="P26" s="5" t="s">
        <v>289</v>
      </c>
      <c r="Q26" s="7" t="s">
        <v>290</v>
      </c>
      <c r="R26" s="5" t="n">
        <v>37.4835</v>
      </c>
      <c r="S26" s="5" t="n">
        <v>-80.0998</v>
      </c>
      <c r="T26" s="5" t="s">
        <v>59</v>
      </c>
    </row>
    <row r="27" customFormat="false" ht="23.85" hidden="false" customHeight="false" outlineLevel="0" collapsed="false">
      <c r="A27" s="5" t="s">
        <v>291</v>
      </c>
      <c r="B27" s="5" t="s">
        <v>292</v>
      </c>
      <c r="C27" s="5" t="s">
        <v>62</v>
      </c>
      <c r="D27" s="5" t="s">
        <v>274</v>
      </c>
      <c r="E27" s="5" t="s">
        <v>293</v>
      </c>
      <c r="F27" s="5" t="s">
        <v>294</v>
      </c>
      <c r="G27" s="5" t="s">
        <v>171</v>
      </c>
      <c r="H27" s="5" t="s">
        <v>295</v>
      </c>
      <c r="I27" s="5" t="s">
        <v>296</v>
      </c>
      <c r="J27" s="5" t="s">
        <v>297</v>
      </c>
      <c r="K27" s="9" t="s">
        <v>81</v>
      </c>
      <c r="L27" s="5" t="n">
        <v>6</v>
      </c>
      <c r="M27" s="5" t="n">
        <f aca="false">COUNTIF('Fleet Register'!$A:$A,A27)</f>
        <v>2</v>
      </c>
      <c r="N27" s="5"/>
      <c r="O27" s="5" t="s">
        <v>102</v>
      </c>
      <c r="P27" s="5"/>
      <c r="Q27" s="7" t="s">
        <v>298</v>
      </c>
      <c r="R27" s="5" t="n">
        <v>37.8788</v>
      </c>
      <c r="S27" s="5" t="n">
        <v>-78.8935</v>
      </c>
      <c r="T27" s="5" t="s">
        <v>59</v>
      </c>
    </row>
    <row r="28" customFormat="false" ht="23.85" hidden="false" customHeight="false" outlineLevel="0" collapsed="false">
      <c r="A28" s="5" t="s">
        <v>299</v>
      </c>
      <c r="B28" s="5" t="s">
        <v>300</v>
      </c>
      <c r="C28" s="5" t="s">
        <v>62</v>
      </c>
      <c r="D28" s="5" t="s">
        <v>274</v>
      </c>
      <c r="E28" s="5" t="s">
        <v>301</v>
      </c>
      <c r="F28" s="5" t="s">
        <v>302</v>
      </c>
      <c r="G28" s="5" t="s">
        <v>171</v>
      </c>
      <c r="H28" s="5" t="s">
        <v>303</v>
      </c>
      <c r="I28" s="5" t="s">
        <v>52</v>
      </c>
      <c r="J28" s="5" t="s">
        <v>304</v>
      </c>
      <c r="K28" s="8" t="s">
        <v>69</v>
      </c>
      <c r="L28" s="5" t="n">
        <v>12</v>
      </c>
      <c r="M28" s="5" t="n">
        <f aca="false">COUNTIF('Fleet Register'!$A:$A,A28)</f>
        <v>5</v>
      </c>
      <c r="N28" s="5" t="s">
        <v>305</v>
      </c>
      <c r="O28" s="5" t="s">
        <v>306</v>
      </c>
      <c r="P28" s="5" t="s">
        <v>307</v>
      </c>
      <c r="Q28" s="7" t="s">
        <v>308</v>
      </c>
      <c r="R28" s="5" t="n">
        <v>39.757</v>
      </c>
      <c r="S28" s="5" t="n">
        <v>-77.3514</v>
      </c>
      <c r="T28" s="5" t="s">
        <v>59</v>
      </c>
    </row>
    <row r="29" customFormat="false" ht="23.85" hidden="false" customHeight="false" outlineLevel="0" collapsed="false">
      <c r="A29" s="5" t="s">
        <v>309</v>
      </c>
      <c r="B29" s="5" t="s">
        <v>310</v>
      </c>
      <c r="C29" s="5" t="s">
        <v>149</v>
      </c>
      <c r="D29" s="5" t="s">
        <v>274</v>
      </c>
      <c r="E29" s="5" t="s">
        <v>311</v>
      </c>
      <c r="F29" s="5" t="s">
        <v>312</v>
      </c>
      <c r="G29" s="5" t="s">
        <v>171</v>
      </c>
      <c r="H29" s="5" t="s">
        <v>313</v>
      </c>
      <c r="I29" s="5" t="s">
        <v>314</v>
      </c>
      <c r="J29" s="5" t="s">
        <v>315</v>
      </c>
      <c r="K29" s="11" t="s">
        <v>145</v>
      </c>
      <c r="L29" s="5"/>
      <c r="M29" s="5" t="n">
        <f aca="false">COUNTIF('Fleet Register'!$A:$A,A29)</f>
        <v>1</v>
      </c>
      <c r="N29" s="5" t="s">
        <v>316</v>
      </c>
      <c r="O29" s="5" t="s">
        <v>317</v>
      </c>
      <c r="P29" s="5" t="s">
        <v>318</v>
      </c>
      <c r="Q29" s="7" t="s">
        <v>319</v>
      </c>
      <c r="R29" s="5" t="n">
        <v>38.9914</v>
      </c>
      <c r="S29" s="5" t="n">
        <v>-79.1456</v>
      </c>
      <c r="T29" s="5" t="s">
        <v>59</v>
      </c>
    </row>
    <row r="30" customFormat="false" ht="23.85" hidden="false" customHeight="false" outlineLevel="0" collapsed="false">
      <c r="A30" s="5" t="s">
        <v>320</v>
      </c>
      <c r="B30" s="5" t="s">
        <v>321</v>
      </c>
      <c r="C30" s="5" t="s">
        <v>62</v>
      </c>
      <c r="D30" s="5" t="s">
        <v>274</v>
      </c>
      <c r="E30" s="5" t="s">
        <v>322</v>
      </c>
      <c r="F30" s="5" t="s">
        <v>323</v>
      </c>
      <c r="G30" s="5" t="s">
        <v>171</v>
      </c>
      <c r="H30" s="5" t="s">
        <v>324</v>
      </c>
      <c r="I30" s="5" t="s">
        <v>67</v>
      </c>
      <c r="J30" s="5" t="s">
        <v>297</v>
      </c>
      <c r="K30" s="8" t="s">
        <v>69</v>
      </c>
      <c r="L30" s="5"/>
      <c r="M30" s="5" t="n">
        <f aca="false">COUNTIF('Fleet Register'!$A:$A,A30)</f>
        <v>0</v>
      </c>
      <c r="N30" s="5" t="s">
        <v>325</v>
      </c>
      <c r="O30" s="5"/>
      <c r="P30" s="5" t="s">
        <v>326</v>
      </c>
      <c r="Q30" s="7" t="s">
        <v>327</v>
      </c>
      <c r="R30" s="5" t="n">
        <v>36.8563</v>
      </c>
      <c r="S30" s="5" t="n">
        <v>-76.6822</v>
      </c>
      <c r="T30" s="5" t="s">
        <v>59</v>
      </c>
    </row>
    <row r="31" customFormat="false" ht="35.05" hidden="false" customHeight="false" outlineLevel="0" collapsed="false">
      <c r="A31" s="5" t="s">
        <v>328</v>
      </c>
      <c r="B31" s="5" t="s">
        <v>329</v>
      </c>
      <c r="C31" s="5" t="s">
        <v>149</v>
      </c>
      <c r="D31" s="5" t="s">
        <v>330</v>
      </c>
      <c r="E31" s="5" t="s">
        <v>331</v>
      </c>
      <c r="F31" s="5" t="s">
        <v>332</v>
      </c>
      <c r="G31" s="5" t="s">
        <v>171</v>
      </c>
      <c r="H31" s="5" t="s">
        <v>333</v>
      </c>
      <c r="I31" s="5" t="s">
        <v>334</v>
      </c>
      <c r="J31" s="5" t="s">
        <v>335</v>
      </c>
      <c r="K31" s="6" t="s">
        <v>54</v>
      </c>
      <c r="L31" s="5" t="n">
        <v>1</v>
      </c>
      <c r="M31" s="5" t="n">
        <f aca="false">COUNTIF('Fleet Register'!$A:$A,A31)</f>
        <v>5</v>
      </c>
      <c r="N31" s="5" t="s">
        <v>336</v>
      </c>
      <c r="O31" s="5" t="s">
        <v>337</v>
      </c>
      <c r="P31" s="5" t="s">
        <v>338</v>
      </c>
      <c r="Q31" s="7" t="s">
        <v>339</v>
      </c>
      <c r="R31" s="5" t="n">
        <v>35.2265</v>
      </c>
      <c r="S31" s="5" t="n">
        <v>-84.5849</v>
      </c>
      <c r="T31" s="5" t="s">
        <v>59</v>
      </c>
    </row>
    <row r="32" customFormat="false" ht="23.85" hidden="false" customHeight="false" outlineLevel="0" collapsed="false">
      <c r="A32" s="5" t="s">
        <v>340</v>
      </c>
      <c r="B32" s="5" t="s">
        <v>341</v>
      </c>
      <c r="C32" s="5" t="s">
        <v>342</v>
      </c>
      <c r="D32" s="5" t="s">
        <v>330</v>
      </c>
      <c r="E32" s="5" t="s">
        <v>343</v>
      </c>
      <c r="F32" s="5" t="s">
        <v>344</v>
      </c>
      <c r="G32" s="5" t="s">
        <v>171</v>
      </c>
      <c r="H32" s="5" t="s">
        <v>345</v>
      </c>
      <c r="I32" s="5" t="s">
        <v>67</v>
      </c>
      <c r="J32" s="5" t="s">
        <v>346</v>
      </c>
      <c r="K32" s="10" t="s">
        <v>112</v>
      </c>
      <c r="L32" s="5" t="n">
        <v>4</v>
      </c>
      <c r="M32" s="5" t="n">
        <f aca="false">COUNTIF('Fleet Register'!$A:$A,A32)</f>
        <v>3</v>
      </c>
      <c r="N32" s="5" t="s">
        <v>347</v>
      </c>
      <c r="O32" s="5"/>
      <c r="P32" s="5" t="s">
        <v>348</v>
      </c>
      <c r="Q32" s="7" t="s">
        <v>349</v>
      </c>
      <c r="R32" s="5" t="n">
        <v>34.6113</v>
      </c>
      <c r="S32" s="5" t="n">
        <v>-80.4498</v>
      </c>
      <c r="T32" s="5" t="s">
        <v>59</v>
      </c>
    </row>
    <row r="33" customFormat="false" ht="23.85" hidden="false" customHeight="false" outlineLevel="0" collapsed="false">
      <c r="A33" s="5" t="s">
        <v>350</v>
      </c>
      <c r="B33" s="5" t="s">
        <v>351</v>
      </c>
      <c r="C33" s="5" t="s">
        <v>62</v>
      </c>
      <c r="D33" s="5" t="s">
        <v>330</v>
      </c>
      <c r="E33" s="5" t="s">
        <v>352</v>
      </c>
      <c r="F33" s="5" t="s">
        <v>353</v>
      </c>
      <c r="G33" s="5" t="s">
        <v>171</v>
      </c>
      <c r="H33" s="5" t="s">
        <v>345</v>
      </c>
      <c r="I33" s="5" t="s">
        <v>67</v>
      </c>
      <c r="J33" s="5" t="s">
        <v>193</v>
      </c>
      <c r="K33" s="8" t="s">
        <v>69</v>
      </c>
      <c r="L33" s="5"/>
      <c r="M33" s="5" t="n">
        <f aca="false">COUNTIF('Fleet Register'!$A:$A,A33)</f>
        <v>2</v>
      </c>
      <c r="N33" s="5" t="s">
        <v>354</v>
      </c>
      <c r="O33" s="5"/>
      <c r="P33" s="5"/>
      <c r="Q33" s="7" t="s">
        <v>355</v>
      </c>
      <c r="R33" s="5" t="n">
        <v>34.9157</v>
      </c>
      <c r="S33" s="5" t="n">
        <v>-81.9565</v>
      </c>
      <c r="T33" s="5" t="s">
        <v>59</v>
      </c>
    </row>
    <row r="34" customFormat="false" ht="23.85" hidden="false" customHeight="false" outlineLevel="0" collapsed="false">
      <c r="A34" s="5" t="s">
        <v>356</v>
      </c>
      <c r="B34" s="5" t="s">
        <v>357</v>
      </c>
      <c r="C34" s="5" t="s">
        <v>62</v>
      </c>
      <c r="D34" s="5" t="s">
        <v>330</v>
      </c>
      <c r="E34" s="5" t="s">
        <v>358</v>
      </c>
      <c r="F34" s="5" t="s">
        <v>359</v>
      </c>
      <c r="G34" s="5" t="s">
        <v>171</v>
      </c>
      <c r="H34" s="5" t="s">
        <v>360</v>
      </c>
      <c r="I34" s="5" t="s">
        <v>67</v>
      </c>
      <c r="J34" s="5" t="s">
        <v>361</v>
      </c>
      <c r="K34" s="8" t="s">
        <v>69</v>
      </c>
      <c r="L34" s="5"/>
      <c r="M34" s="5" t="n">
        <f aca="false">COUNTIF('Fleet Register'!$A:$A,A34)</f>
        <v>0</v>
      </c>
      <c r="N34" s="5" t="s">
        <v>362</v>
      </c>
      <c r="O34" s="5" t="s">
        <v>363</v>
      </c>
      <c r="P34" s="5" t="s">
        <v>364</v>
      </c>
      <c r="Q34" s="7" t="s">
        <v>365</v>
      </c>
      <c r="R34" s="5" t="n">
        <v>35.9312</v>
      </c>
      <c r="S34" s="5" t="n">
        <v>-78.2448</v>
      </c>
      <c r="T34" s="5" t="s">
        <v>59</v>
      </c>
    </row>
    <row r="35" customFormat="false" ht="23.85" hidden="false" customHeight="false" outlineLevel="0" collapsed="false">
      <c r="A35" s="5" t="s">
        <v>366</v>
      </c>
      <c r="B35" s="5" t="s">
        <v>367</v>
      </c>
      <c r="C35" s="5" t="s">
        <v>62</v>
      </c>
      <c r="D35" s="5" t="s">
        <v>330</v>
      </c>
      <c r="E35" s="5" t="s">
        <v>368</v>
      </c>
      <c r="F35" s="5" t="s">
        <v>369</v>
      </c>
      <c r="G35" s="5" t="s">
        <v>171</v>
      </c>
      <c r="H35" s="5" t="s">
        <v>370</v>
      </c>
      <c r="I35" s="5" t="s">
        <v>67</v>
      </c>
      <c r="J35" s="5" t="s">
        <v>371</v>
      </c>
      <c r="K35" s="8" t="s">
        <v>69</v>
      </c>
      <c r="L35" s="5"/>
      <c r="M35" s="5" t="n">
        <f aca="false">COUNTIF('Fleet Register'!$A:$A,A35)</f>
        <v>3</v>
      </c>
      <c r="N35" s="5"/>
      <c r="O35" s="5" t="s">
        <v>372</v>
      </c>
      <c r="P35" s="5"/>
      <c r="Q35" s="7" t="s">
        <v>373</v>
      </c>
      <c r="R35" s="5" t="n">
        <v>33.7823</v>
      </c>
      <c r="S35" s="5" t="n">
        <v>-83.6926</v>
      </c>
      <c r="T35" s="5" t="s">
        <v>59</v>
      </c>
    </row>
    <row r="36" customFormat="false" ht="23.85" hidden="false" customHeight="false" outlineLevel="0" collapsed="false">
      <c r="A36" s="5" t="s">
        <v>374</v>
      </c>
      <c r="B36" s="5" t="s">
        <v>375</v>
      </c>
      <c r="C36" s="5" t="s">
        <v>62</v>
      </c>
      <c r="D36" s="5" t="s">
        <v>330</v>
      </c>
      <c r="E36" s="5" t="s">
        <v>376</v>
      </c>
      <c r="F36" s="5" t="s">
        <v>377</v>
      </c>
      <c r="G36" s="5" t="s">
        <v>171</v>
      </c>
      <c r="H36" s="5" t="s">
        <v>378</v>
      </c>
      <c r="I36" s="5" t="s">
        <v>67</v>
      </c>
      <c r="J36" s="5" t="s">
        <v>379</v>
      </c>
      <c r="K36" s="8" t="s">
        <v>69</v>
      </c>
      <c r="L36" s="5"/>
      <c r="M36" s="5" t="n">
        <f aca="false">COUNTIF('Fleet Register'!$A:$A,A36)</f>
        <v>3</v>
      </c>
      <c r="N36" s="5" t="s">
        <v>380</v>
      </c>
      <c r="O36" s="5" t="s">
        <v>381</v>
      </c>
      <c r="P36" s="5"/>
      <c r="Q36" s="7" t="s">
        <v>382</v>
      </c>
      <c r="R36" s="5" t="n">
        <v>35.6894</v>
      </c>
      <c r="S36" s="5" t="n">
        <v>-86.615</v>
      </c>
      <c r="T36" s="5" t="s">
        <v>59</v>
      </c>
    </row>
    <row r="37" customFormat="false" ht="23.85" hidden="false" customHeight="false" outlineLevel="0" collapsed="false">
      <c r="A37" s="5" t="s">
        <v>383</v>
      </c>
      <c r="B37" s="5" t="s">
        <v>384</v>
      </c>
      <c r="C37" s="5" t="s">
        <v>62</v>
      </c>
      <c r="D37" s="5" t="s">
        <v>385</v>
      </c>
      <c r="E37" s="5" t="s">
        <v>386</v>
      </c>
      <c r="F37" s="5" t="s">
        <v>387</v>
      </c>
      <c r="G37" s="5" t="s">
        <v>171</v>
      </c>
      <c r="H37" s="5" t="s">
        <v>388</v>
      </c>
      <c r="I37" s="5" t="s">
        <v>67</v>
      </c>
      <c r="J37" s="5" t="s">
        <v>389</v>
      </c>
      <c r="K37" s="9" t="s">
        <v>81</v>
      </c>
      <c r="L37" s="5" t="n">
        <v>3</v>
      </c>
      <c r="M37" s="5" t="n">
        <f aca="false">COUNTIF('Fleet Register'!$A:$A,A37)</f>
        <v>5</v>
      </c>
      <c r="N37" s="5" t="s">
        <v>390</v>
      </c>
      <c r="O37" s="5"/>
      <c r="P37" s="5" t="s">
        <v>391</v>
      </c>
      <c r="Q37" s="7" t="s">
        <v>392</v>
      </c>
      <c r="R37" s="5" t="n">
        <v>42.442</v>
      </c>
      <c r="S37" s="5" t="n">
        <v>-84.0643</v>
      </c>
      <c r="T37" s="5" t="s">
        <v>59</v>
      </c>
    </row>
    <row r="38" customFormat="false" ht="15" hidden="false" customHeight="false" outlineLevel="0" collapsed="false">
      <c r="A38" s="5" t="s">
        <v>393</v>
      </c>
      <c r="B38" s="5" t="s">
        <v>394</v>
      </c>
      <c r="C38" s="5" t="s">
        <v>62</v>
      </c>
      <c r="D38" s="5" t="s">
        <v>385</v>
      </c>
      <c r="E38" s="5" t="s">
        <v>395</v>
      </c>
      <c r="F38" s="5" t="s">
        <v>396</v>
      </c>
      <c r="G38" s="5" t="s">
        <v>171</v>
      </c>
      <c r="H38" s="5" t="s">
        <v>397</v>
      </c>
      <c r="I38" s="5" t="s">
        <v>67</v>
      </c>
      <c r="J38" s="5" t="s">
        <v>398</v>
      </c>
      <c r="K38" s="8" t="s">
        <v>69</v>
      </c>
      <c r="L38" s="5"/>
      <c r="M38" s="5" t="n">
        <f aca="false">COUNTIF('Fleet Register'!$A:$A,A38)</f>
        <v>4</v>
      </c>
      <c r="N38" s="5" t="s">
        <v>399</v>
      </c>
      <c r="O38" s="5"/>
      <c r="P38" s="5"/>
      <c r="Q38" s="7" t="s">
        <v>400</v>
      </c>
      <c r="R38" s="5" t="n">
        <v>42.1542</v>
      </c>
      <c r="S38" s="5" t="n">
        <v>-88.5115</v>
      </c>
      <c r="T38" s="5" t="s">
        <v>59</v>
      </c>
    </row>
    <row r="39" customFormat="false" ht="15" hidden="false" customHeight="false" outlineLevel="0" collapsed="false">
      <c r="A39" s="5" t="s">
        <v>401</v>
      </c>
      <c r="B39" s="5" t="s">
        <v>402</v>
      </c>
      <c r="C39" s="5" t="s">
        <v>62</v>
      </c>
      <c r="D39" s="5" t="s">
        <v>385</v>
      </c>
      <c r="E39" s="5" t="s">
        <v>403</v>
      </c>
      <c r="F39" s="5" t="s">
        <v>404</v>
      </c>
      <c r="G39" s="5" t="s">
        <v>171</v>
      </c>
      <c r="H39" s="5" t="s">
        <v>405</v>
      </c>
      <c r="I39" s="5" t="s">
        <v>67</v>
      </c>
      <c r="J39" s="5" t="s">
        <v>406</v>
      </c>
      <c r="K39" s="8" t="s">
        <v>69</v>
      </c>
      <c r="L39" s="5"/>
      <c r="M39" s="5" t="n">
        <f aca="false">COUNTIF('Fleet Register'!$A:$A,A39)</f>
        <v>3</v>
      </c>
      <c r="N39" s="5" t="s">
        <v>407</v>
      </c>
      <c r="O39" s="5"/>
      <c r="P39" s="5" t="s">
        <v>408</v>
      </c>
      <c r="Q39" s="7" t="s">
        <v>409</v>
      </c>
      <c r="R39" s="5" t="n">
        <v>41.432</v>
      </c>
      <c r="S39" s="5" t="n">
        <v>-88.2473</v>
      </c>
      <c r="T39" s="5" t="s">
        <v>59</v>
      </c>
    </row>
    <row r="40" customFormat="false" ht="23.85" hidden="false" customHeight="false" outlineLevel="0" collapsed="false">
      <c r="A40" s="5" t="s">
        <v>410</v>
      </c>
      <c r="B40" s="5" t="s">
        <v>411</v>
      </c>
      <c r="C40" s="5" t="s">
        <v>62</v>
      </c>
      <c r="D40" s="5" t="s">
        <v>385</v>
      </c>
      <c r="E40" s="5" t="s">
        <v>412</v>
      </c>
      <c r="F40" s="5" t="s">
        <v>413</v>
      </c>
      <c r="G40" s="5" t="s">
        <v>171</v>
      </c>
      <c r="H40" s="5" t="s">
        <v>414</v>
      </c>
      <c r="I40" s="5" t="s">
        <v>67</v>
      </c>
      <c r="J40" s="5" t="s">
        <v>415</v>
      </c>
      <c r="K40" s="8" t="s">
        <v>69</v>
      </c>
      <c r="L40" s="5"/>
      <c r="M40" s="5" t="n">
        <f aca="false">COUNTIF('Fleet Register'!$A:$A,A40)</f>
        <v>4</v>
      </c>
      <c r="N40" s="5" t="s">
        <v>416</v>
      </c>
      <c r="O40" s="5" t="s">
        <v>417</v>
      </c>
      <c r="P40" s="5"/>
      <c r="Q40" s="7" t="s">
        <v>418</v>
      </c>
      <c r="R40" s="5" t="n">
        <v>39.4767</v>
      </c>
      <c r="S40" s="5" t="n">
        <v>-84.0938</v>
      </c>
      <c r="T40" s="5" t="s">
        <v>59</v>
      </c>
    </row>
    <row r="41" customFormat="false" ht="35.05" hidden="false" customHeight="false" outlineLevel="0" collapsed="false">
      <c r="A41" s="5" t="s">
        <v>419</v>
      </c>
      <c r="B41" s="5" t="s">
        <v>420</v>
      </c>
      <c r="C41" s="5" t="s">
        <v>149</v>
      </c>
      <c r="D41" s="5" t="s">
        <v>421</v>
      </c>
      <c r="E41" s="5" t="s">
        <v>422</v>
      </c>
      <c r="F41" s="5" t="s">
        <v>423</v>
      </c>
      <c r="G41" s="5" t="s">
        <v>171</v>
      </c>
      <c r="H41" s="5" t="s">
        <v>424</v>
      </c>
      <c r="I41" s="5" t="s">
        <v>425</v>
      </c>
      <c r="J41" s="5" t="s">
        <v>426</v>
      </c>
      <c r="K41" s="6" t="s">
        <v>54</v>
      </c>
      <c r="L41" s="5" t="n">
        <v>1</v>
      </c>
      <c r="M41" s="5" t="n">
        <f aca="false">COUNTIF('Fleet Register'!$A:$A,A41)</f>
        <v>2</v>
      </c>
      <c r="N41" s="5" t="s">
        <v>427</v>
      </c>
      <c r="O41" s="5" t="s">
        <v>428</v>
      </c>
      <c r="P41" s="5"/>
      <c r="Q41" s="7" t="s">
        <v>429</v>
      </c>
      <c r="R41" s="5" t="n">
        <v>28.4058</v>
      </c>
      <c r="S41" s="5" t="n">
        <v>-81.8379</v>
      </c>
      <c r="T41" s="5" t="s">
        <v>59</v>
      </c>
    </row>
    <row r="42" customFormat="false" ht="15" hidden="false" customHeight="false" outlineLevel="0" collapsed="false">
      <c r="A42" s="5" t="s">
        <v>430</v>
      </c>
      <c r="B42" s="5" t="s">
        <v>431</v>
      </c>
      <c r="C42" s="5" t="s">
        <v>149</v>
      </c>
      <c r="D42" s="5" t="s">
        <v>421</v>
      </c>
      <c r="E42" s="5" t="s">
        <v>432</v>
      </c>
      <c r="F42" s="5" t="s">
        <v>433</v>
      </c>
      <c r="G42" s="5" t="s">
        <v>171</v>
      </c>
      <c r="H42" s="5" t="s">
        <v>434</v>
      </c>
      <c r="I42" s="5" t="s">
        <v>67</v>
      </c>
      <c r="J42" s="5" t="s">
        <v>435</v>
      </c>
      <c r="K42" s="6" t="s">
        <v>54</v>
      </c>
      <c r="L42" s="5" t="n">
        <v>3</v>
      </c>
      <c r="M42" s="5" t="n">
        <f aca="false">COUNTIF('Fleet Register'!$A:$A,A42)</f>
        <v>3</v>
      </c>
      <c r="N42" s="5" t="s">
        <v>436</v>
      </c>
      <c r="O42" s="5" t="s">
        <v>437</v>
      </c>
      <c r="P42" s="5"/>
      <c r="Q42" s="7" t="s">
        <v>438</v>
      </c>
      <c r="R42" s="5" t="n">
        <v>25.4988</v>
      </c>
      <c r="S42" s="5" t="n">
        <v>-80.5543</v>
      </c>
      <c r="T42" s="5" t="s">
        <v>59</v>
      </c>
    </row>
    <row r="43" customFormat="false" ht="15" hidden="false" customHeight="false" outlineLevel="0" collapsed="false">
      <c r="A43" s="5" t="s">
        <v>439</v>
      </c>
      <c r="B43" s="5" t="s">
        <v>440</v>
      </c>
      <c r="C43" s="5" t="s">
        <v>62</v>
      </c>
      <c r="D43" s="5" t="s">
        <v>421</v>
      </c>
      <c r="E43" s="5" t="s">
        <v>441</v>
      </c>
      <c r="F43" s="5" t="s">
        <v>442</v>
      </c>
      <c r="G43" s="5" t="s">
        <v>171</v>
      </c>
      <c r="H43" s="5" t="s">
        <v>443</v>
      </c>
      <c r="I43" s="5" t="s">
        <v>67</v>
      </c>
      <c r="J43" s="5" t="s">
        <v>444</v>
      </c>
      <c r="K43" s="8" t="s">
        <v>69</v>
      </c>
      <c r="L43" s="5" t="n">
        <v>11</v>
      </c>
      <c r="M43" s="5" t="n">
        <f aca="false">COUNTIF('Fleet Register'!$A:$A,A43)</f>
        <v>5</v>
      </c>
      <c r="N43" s="5" t="s">
        <v>445</v>
      </c>
      <c r="O43" s="5"/>
      <c r="P43" s="5"/>
      <c r="Q43" s="7" t="s">
        <v>446</v>
      </c>
      <c r="R43" s="5" t="n">
        <v>28.2267</v>
      </c>
      <c r="S43" s="5" t="n">
        <v>-82.1556</v>
      </c>
      <c r="T43" s="5" t="s">
        <v>59</v>
      </c>
    </row>
    <row r="44" customFormat="false" ht="23.85" hidden="false" customHeight="false" outlineLevel="0" collapsed="false">
      <c r="A44" s="5" t="s">
        <v>447</v>
      </c>
      <c r="B44" s="5" t="s">
        <v>448</v>
      </c>
      <c r="C44" s="5" t="s">
        <v>62</v>
      </c>
      <c r="D44" s="5" t="s">
        <v>449</v>
      </c>
      <c r="E44" s="5" t="s">
        <v>450</v>
      </c>
      <c r="F44" s="5" t="s">
        <v>451</v>
      </c>
      <c r="G44" s="5" t="s">
        <v>171</v>
      </c>
      <c r="H44" s="5" t="s">
        <v>452</v>
      </c>
      <c r="I44" s="5" t="s">
        <v>453</v>
      </c>
      <c r="J44" s="5" t="s">
        <v>454</v>
      </c>
      <c r="K44" s="9" t="s">
        <v>81</v>
      </c>
      <c r="L44" s="5" t="n">
        <v>5</v>
      </c>
      <c r="M44" s="5" t="n">
        <f aca="false">COUNTIF('Fleet Register'!$A:$A,A44)</f>
        <v>4</v>
      </c>
      <c r="N44" s="5" t="s">
        <v>455</v>
      </c>
      <c r="O44" s="5" t="s">
        <v>202</v>
      </c>
      <c r="P44" s="5" t="s">
        <v>456</v>
      </c>
      <c r="Q44" s="7" t="s">
        <v>457</v>
      </c>
      <c r="R44" s="5" t="n">
        <v>32.3835</v>
      </c>
      <c r="S44" s="5" t="n">
        <v>-97.0142</v>
      </c>
      <c r="T44" s="5" t="s">
        <v>59</v>
      </c>
    </row>
    <row r="45" customFormat="false" ht="23.85" hidden="false" customHeight="false" outlineLevel="0" collapsed="false">
      <c r="A45" s="5" t="s">
        <v>458</v>
      </c>
      <c r="B45" s="5" t="s">
        <v>459</v>
      </c>
      <c r="C45" s="5" t="s">
        <v>62</v>
      </c>
      <c r="D45" s="5" t="s">
        <v>449</v>
      </c>
      <c r="E45" s="5" t="s">
        <v>460</v>
      </c>
      <c r="F45" s="5" t="s">
        <v>461</v>
      </c>
      <c r="G45" s="5" t="s">
        <v>171</v>
      </c>
      <c r="H45" s="5" t="s">
        <v>462</v>
      </c>
      <c r="I45" s="5" t="s">
        <v>67</v>
      </c>
      <c r="J45" s="5" t="s">
        <v>463</v>
      </c>
      <c r="K45" s="9" t="s">
        <v>81</v>
      </c>
      <c r="L45" s="5" t="n">
        <v>6</v>
      </c>
      <c r="M45" s="5" t="n">
        <f aca="false">COUNTIF('Fleet Register'!$A:$A,A45)</f>
        <v>3</v>
      </c>
      <c r="N45" s="5"/>
      <c r="O45" s="5"/>
      <c r="P45" s="5"/>
      <c r="Q45" s="7" t="s">
        <v>464</v>
      </c>
      <c r="R45" s="5" t="n">
        <v>30.1927</v>
      </c>
      <c r="S45" s="5" t="n">
        <v>-95.9633</v>
      </c>
      <c r="T45" s="5" t="s">
        <v>59</v>
      </c>
    </row>
    <row r="46" customFormat="false" ht="23.85" hidden="false" customHeight="false" outlineLevel="0" collapsed="false">
      <c r="A46" s="5" t="s">
        <v>465</v>
      </c>
      <c r="B46" s="5" t="s">
        <v>466</v>
      </c>
      <c r="C46" s="5" t="s">
        <v>62</v>
      </c>
      <c r="D46" s="5" t="s">
        <v>449</v>
      </c>
      <c r="E46" s="5" t="s">
        <v>467</v>
      </c>
      <c r="F46" s="5" t="s">
        <v>468</v>
      </c>
      <c r="G46" s="5" t="s">
        <v>171</v>
      </c>
      <c r="H46" s="5" t="s">
        <v>469</v>
      </c>
      <c r="I46" s="5" t="s">
        <v>67</v>
      </c>
      <c r="J46" s="5" t="s">
        <v>470</v>
      </c>
      <c r="K46" s="9" t="s">
        <v>81</v>
      </c>
      <c r="L46" s="5" t="n">
        <v>8</v>
      </c>
      <c r="M46" s="5" t="n">
        <f aca="false">COUNTIF('Fleet Register'!$A:$A,A46)</f>
        <v>4</v>
      </c>
      <c r="N46" s="5" t="s">
        <v>471</v>
      </c>
      <c r="O46" s="5" t="s">
        <v>472</v>
      </c>
      <c r="P46" s="5" t="s">
        <v>473</v>
      </c>
      <c r="Q46" s="7" t="s">
        <v>474</v>
      </c>
      <c r="R46" s="5" t="n">
        <v>30.88</v>
      </c>
      <c r="S46" s="5" t="n">
        <v>-97.93</v>
      </c>
      <c r="T46" s="5" t="s">
        <v>59</v>
      </c>
    </row>
    <row r="47" customFormat="false" ht="23.85" hidden="false" customHeight="false" outlineLevel="0" collapsed="false">
      <c r="A47" s="5" t="s">
        <v>475</v>
      </c>
      <c r="B47" s="5" t="s">
        <v>476</v>
      </c>
      <c r="C47" s="5" t="s">
        <v>149</v>
      </c>
      <c r="D47" s="5" t="s">
        <v>477</v>
      </c>
      <c r="E47" s="5" t="s">
        <v>478</v>
      </c>
      <c r="F47" s="5" t="s">
        <v>479</v>
      </c>
      <c r="G47" s="5" t="s">
        <v>171</v>
      </c>
      <c r="H47" s="5" t="s">
        <v>480</v>
      </c>
      <c r="I47" s="5" t="s">
        <v>481</v>
      </c>
      <c r="J47" s="5" t="s">
        <v>482</v>
      </c>
      <c r="K47" s="6" t="s">
        <v>54</v>
      </c>
      <c r="L47" s="5" t="n">
        <v>4</v>
      </c>
      <c r="M47" s="5" t="n">
        <f aca="false">COUNTIF('Fleet Register'!$A:$A,A47)</f>
        <v>0</v>
      </c>
      <c r="N47" s="5" t="s">
        <v>483</v>
      </c>
      <c r="O47" s="5"/>
      <c r="P47" s="5" t="s">
        <v>484</v>
      </c>
      <c r="Q47" s="7" t="s">
        <v>485</v>
      </c>
      <c r="R47" s="5" t="n">
        <v>40.0394</v>
      </c>
      <c r="S47" s="5" t="n">
        <v>-105.2261</v>
      </c>
      <c r="T47" s="5" t="s">
        <v>59</v>
      </c>
    </row>
    <row r="48" customFormat="false" ht="23.85" hidden="false" customHeight="false" outlineLevel="0" collapsed="false">
      <c r="A48" s="5" t="s">
        <v>486</v>
      </c>
      <c r="B48" s="5" t="s">
        <v>487</v>
      </c>
      <c r="C48" s="5" t="s">
        <v>62</v>
      </c>
      <c r="D48" s="5" t="s">
        <v>477</v>
      </c>
      <c r="E48" s="5" t="s">
        <v>478</v>
      </c>
      <c r="F48" s="5" t="s">
        <v>479</v>
      </c>
      <c r="G48" s="5" t="s">
        <v>171</v>
      </c>
      <c r="H48" s="5" t="s">
        <v>480</v>
      </c>
      <c r="I48" s="5" t="s">
        <v>488</v>
      </c>
      <c r="J48" s="5" t="s">
        <v>489</v>
      </c>
      <c r="K48" s="9" t="s">
        <v>81</v>
      </c>
      <c r="L48" s="5" t="n">
        <v>7</v>
      </c>
      <c r="M48" s="5" t="n">
        <f aca="false">COUNTIF('Fleet Register'!$A:$A,A48)</f>
        <v>4</v>
      </c>
      <c r="N48" s="5"/>
      <c r="O48" s="5"/>
      <c r="P48" s="5"/>
      <c r="Q48" s="7" t="s">
        <v>490</v>
      </c>
      <c r="R48" s="5" t="n">
        <v>40.041</v>
      </c>
      <c r="S48" s="5" t="n">
        <v>-105.224</v>
      </c>
      <c r="T48" s="5" t="s">
        <v>59</v>
      </c>
    </row>
    <row r="49" customFormat="false" ht="35.05" hidden="false" customHeight="false" outlineLevel="0" collapsed="false">
      <c r="A49" s="5" t="s">
        <v>491</v>
      </c>
      <c r="B49" s="5" t="s">
        <v>492</v>
      </c>
      <c r="C49" s="5" t="s">
        <v>493</v>
      </c>
      <c r="D49" s="5" t="s">
        <v>477</v>
      </c>
      <c r="E49" s="5" t="s">
        <v>494</v>
      </c>
      <c r="F49" s="5" t="s">
        <v>495</v>
      </c>
      <c r="G49" s="5" t="s">
        <v>171</v>
      </c>
      <c r="H49" s="5" t="s">
        <v>496</v>
      </c>
      <c r="I49" s="5" t="s">
        <v>497</v>
      </c>
      <c r="J49" s="5" t="s">
        <v>498</v>
      </c>
      <c r="K49" s="8" t="s">
        <v>69</v>
      </c>
      <c r="L49" s="5" t="n">
        <v>10</v>
      </c>
      <c r="M49" s="5" t="n">
        <f aca="false">COUNTIF('Fleet Register'!$A:$A,A49)</f>
        <v>3</v>
      </c>
      <c r="N49" s="5" t="s">
        <v>499</v>
      </c>
      <c r="O49" s="5"/>
      <c r="P49" s="5" t="s">
        <v>500</v>
      </c>
      <c r="Q49" s="7" t="s">
        <v>501</v>
      </c>
      <c r="R49" s="5" t="n">
        <v>40.4818</v>
      </c>
      <c r="S49" s="5" t="n">
        <v>-111.4288</v>
      </c>
      <c r="T49" s="5" t="s">
        <v>59</v>
      </c>
    </row>
    <row r="50" customFormat="false" ht="23.85" hidden="false" customHeight="false" outlineLevel="0" collapsed="false">
      <c r="A50" s="5" t="s">
        <v>502</v>
      </c>
      <c r="B50" s="5" t="s">
        <v>503</v>
      </c>
      <c r="C50" s="5" t="s">
        <v>149</v>
      </c>
      <c r="D50" s="5" t="s">
        <v>504</v>
      </c>
      <c r="E50" s="5" t="s">
        <v>505</v>
      </c>
      <c r="F50" s="5" t="s">
        <v>506</v>
      </c>
      <c r="G50" s="5" t="s">
        <v>171</v>
      </c>
      <c r="H50" s="5" t="s">
        <v>507</v>
      </c>
      <c r="I50" s="5" t="s">
        <v>508</v>
      </c>
      <c r="J50" s="5" t="s">
        <v>509</v>
      </c>
      <c r="K50" s="6" t="s">
        <v>54</v>
      </c>
      <c r="L50" s="5" t="n">
        <v>1</v>
      </c>
      <c r="M50" s="5" t="n">
        <f aca="false">COUNTIF('Fleet Register'!$A:$A,A50)</f>
        <v>8</v>
      </c>
      <c r="N50" s="5" t="s">
        <v>510</v>
      </c>
      <c r="O50" s="5" t="s">
        <v>511</v>
      </c>
      <c r="P50" s="5" t="s">
        <v>512</v>
      </c>
      <c r="Q50" s="7" t="s">
        <v>513</v>
      </c>
      <c r="R50" s="5" t="n">
        <v>33.0853</v>
      </c>
      <c r="S50" s="5" t="n">
        <v>-112.161</v>
      </c>
      <c r="T50" s="5" t="s">
        <v>59</v>
      </c>
    </row>
    <row r="51" customFormat="false" ht="23.85" hidden="false" customHeight="false" outlineLevel="0" collapsed="false">
      <c r="A51" s="5" t="s">
        <v>514</v>
      </c>
      <c r="B51" s="5" t="s">
        <v>515</v>
      </c>
      <c r="C51" s="5" t="s">
        <v>62</v>
      </c>
      <c r="D51" s="5" t="s">
        <v>504</v>
      </c>
      <c r="E51" s="5" t="s">
        <v>516</v>
      </c>
      <c r="F51" s="5" t="s">
        <v>517</v>
      </c>
      <c r="G51" s="5" t="s">
        <v>171</v>
      </c>
      <c r="H51" s="5" t="s">
        <v>518</v>
      </c>
      <c r="I51" s="5" t="s">
        <v>519</v>
      </c>
      <c r="J51" s="5" t="s">
        <v>297</v>
      </c>
      <c r="K51" s="8" t="s">
        <v>69</v>
      </c>
      <c r="L51" s="5" t="n">
        <v>9</v>
      </c>
      <c r="M51" s="5" t="n">
        <f aca="false">COUNTIF('Fleet Register'!$A:$A,A51)</f>
        <v>4</v>
      </c>
      <c r="N51" s="5" t="s">
        <v>520</v>
      </c>
      <c r="O51" s="5"/>
      <c r="P51" s="5"/>
      <c r="Q51" s="7" t="s">
        <v>521</v>
      </c>
      <c r="R51" s="5" t="n">
        <v>35.7683</v>
      </c>
      <c r="S51" s="5" t="n">
        <v>-115.3296</v>
      </c>
      <c r="T51" s="5" t="s">
        <v>59</v>
      </c>
    </row>
    <row r="52" customFormat="false" ht="15" hidden="false" customHeight="false" outlineLevel="0" collapsed="false">
      <c r="A52" s="5" t="s">
        <v>522</v>
      </c>
      <c r="B52" s="5" t="s">
        <v>523</v>
      </c>
      <c r="C52" s="5" t="s">
        <v>149</v>
      </c>
      <c r="D52" s="5" t="s">
        <v>504</v>
      </c>
      <c r="E52" s="5" t="s">
        <v>524</v>
      </c>
      <c r="F52" s="5" t="s">
        <v>525</v>
      </c>
      <c r="G52" s="5" t="s">
        <v>209</v>
      </c>
      <c r="H52" s="5" t="s">
        <v>526</v>
      </c>
      <c r="I52" s="5" t="s">
        <v>527</v>
      </c>
      <c r="J52" s="5" t="s">
        <v>435</v>
      </c>
      <c r="K52" s="10" t="s">
        <v>112</v>
      </c>
      <c r="L52" s="5"/>
      <c r="M52" s="5" t="n">
        <f aca="false">COUNTIF('Fleet Register'!$A:$A,A52)</f>
        <v>0</v>
      </c>
      <c r="N52" s="5" t="s">
        <v>528</v>
      </c>
      <c r="O52" s="5" t="s">
        <v>529</v>
      </c>
      <c r="P52" s="5"/>
      <c r="Q52" s="7" t="s">
        <v>530</v>
      </c>
      <c r="R52" s="5" t="n">
        <v>34.9782</v>
      </c>
      <c r="S52" s="5" t="n">
        <v>-106</v>
      </c>
      <c r="T52" s="5" t="s">
        <v>59</v>
      </c>
    </row>
    <row r="53" customFormat="false" ht="23.85" hidden="false" customHeight="false" outlineLevel="0" collapsed="false">
      <c r="A53" s="5" t="s">
        <v>531</v>
      </c>
      <c r="B53" s="5" t="s">
        <v>532</v>
      </c>
      <c r="C53" s="5" t="s">
        <v>149</v>
      </c>
      <c r="D53" s="5" t="s">
        <v>504</v>
      </c>
      <c r="E53" s="5" t="s">
        <v>533</v>
      </c>
      <c r="F53" s="5" t="s">
        <v>534</v>
      </c>
      <c r="G53" s="5" t="s">
        <v>209</v>
      </c>
      <c r="H53" s="5" t="s">
        <v>535</v>
      </c>
      <c r="I53" s="5" t="s">
        <v>536</v>
      </c>
      <c r="J53" s="5" t="s">
        <v>537</v>
      </c>
      <c r="K53" s="6" t="s">
        <v>54</v>
      </c>
      <c r="L53" s="5"/>
      <c r="M53" s="5" t="n">
        <f aca="false">COUNTIF('Fleet Register'!$A:$A,A53)</f>
        <v>0</v>
      </c>
      <c r="N53" s="5" t="s">
        <v>538</v>
      </c>
      <c r="O53" s="5"/>
      <c r="P53" s="5"/>
      <c r="Q53" s="7" t="s">
        <v>539</v>
      </c>
      <c r="R53" s="5" t="n">
        <v>39.0003</v>
      </c>
      <c r="S53" s="5" t="n">
        <v>-119.7508</v>
      </c>
      <c r="T53" s="5" t="s">
        <v>59</v>
      </c>
    </row>
  </sheetData>
  <autoFilter ref="A1:T53"/>
  <dataValidations count="1">
    <dataValidation allowBlank="true" errorStyle="stop" operator="between" showDropDown="false" showErrorMessage="false" showInputMessage="false" sqref="K2:K53" type="list">
      <formula1>"Rents to visitors,Guest / short-term membership,Membership required,Unknown,call,Closed / inactive"</formula1>
      <formula2>0</formula2>
    </dataValidation>
  </dataValidations>
  <hyperlinks>
    <hyperlink ref="Q2" r:id="rId1" display="https://sugarbushsoaring.com/"/>
    <hyperlink ref="Q3" r:id="rId2" display="https://www.soargbsc.net/"/>
    <hyperlink ref="Q4" r:id="rId3" display="http://www.soarmohawk.com/"/>
    <hyperlink ref="Q5" r:id="rId4" display="https://flypmsc.org/"/>
    <hyperlink ref="Q6" r:id="rId5" display="https://www.flynesa.com/"/>
    <hyperlink ref="Q7" r:id="rId6" display="http://www.franconiasoaring.org/"/>
    <hyperlink ref="Q8" r:id="rId7" display="https://www.ctsoaring.org/"/>
    <hyperlink ref="Q9" r:id="rId8" display="https://www.soargbsc.com/wave/MtWashBrief.pdf"/>
    <hyperlink ref="Q10" r:id="rId9" display="https://www.facebook.com/sanfordsoaring/"/>
    <hyperlink ref="Q11" r:id="rId10" display="https://www.spiritsoaring.org/"/>
    <hyperlink ref="Q12" r:id="rId11" display="https://www.wurtsboroairport.com/"/>
    <hyperlink ref="Q13" r:id="rId12" display="https://vansantairport.com/"/>
    <hyperlink ref="Q14" r:id="rId13" display="https://harrishillsoaring.org/"/>
    <hyperlink ref="Q15" r:id="rId14" display="http://pghsoar.org/"/>
    <hyperlink ref="Q16" r:id="rId15" display="https://www.adirondacksoaring.com/"/>
    <hyperlink ref="Q17" r:id="rId16" display="https://www.aeroclubalbatross.org/"/>
    <hyperlink ref="Q18" r:id="rId17" display="https://flsc.org/"/>
    <hyperlink ref="Q19" r:id="rId18" display="https://www.jerseyridgesoaring.com/"/>
    <hyperlink ref="Q20" r:id="rId19" display="https://www.brandywinesoaring.org/"/>
    <hyperlink ref="Q22" r:id="rId20" display="https://pgcsoaring.org/"/>
    <hyperlink ref="Q23" r:id="rId21" display="https://soaringtigers.org/"/>
    <hyperlink ref="Q24" r:id="rId22" display="https://longislandsoaring.com/"/>
    <hyperlink ref="Q25" r:id="rId23" display="https://www.skylinesoaring.org/"/>
    <hyperlink ref="Q26" r:id="rId24" display="https://www.brss.net/"/>
    <hyperlink ref="Q27" r:id="rId25" display="https://www.svsoar.org/"/>
    <hyperlink ref="Q28" r:id="rId26" display="https://midatlanticsoaring.org/"/>
    <hyperlink ref="Q29" r:id="rId27" display="https://www.easternsoaringcenter.com/"/>
    <hyperlink ref="Q30" r:id="rId28" display="https://tss.fyi/"/>
    <hyperlink ref="Q31" r:id="rId29" display="https://www.chilhowee.com/"/>
    <hyperlink ref="Q32" r:id="rId30" display="https://bermudahighsoaring.com/"/>
    <hyperlink ref="Q33" r:id="rId31" display="https://carolinasoaring.org/"/>
    <hyperlink ref="Q34" r:id="rId32" display="https://soaringnc.org/"/>
    <hyperlink ref="Q35" r:id="rId33" display="https://www.soar-mgsa.org/"/>
    <hyperlink ref="Q36" r:id="rId34" display="https://eaglevillesoaring.org/"/>
    <hyperlink ref="Q37" r:id="rId35" display="https://www.sandhillsoaring.org/"/>
    <hyperlink ref="Q38" r:id="rId36" display="https://skysoaring.com/"/>
    <hyperlink ref="Q39" r:id="rId37" display="http://www.chicagogliderclub.org/"/>
    <hyperlink ref="Q40" r:id="rId38" display="https://www.soarccsc.com/"/>
    <hyperlink ref="Q41" r:id="rId39" display="https://www.soarfl.com/"/>
    <hyperlink ref="Q42" r:id="rId40" display="https://www.miamigliders.com/"/>
    <hyperlink ref="Q43" r:id="rId41" display="https://www.tampabaysoaring.com/"/>
    <hyperlink ref="Q44" r:id="rId42" display="https://texassoaring.org/"/>
    <hyperlink ref="Q45" r:id="rId43" display="https://sites.google.com/site/soaringclubofhouston/"/>
    <hyperlink ref="Q46" r:id="rId44" display="https://www.faultlineflyers.com/"/>
    <hyperlink ref="Q47" r:id="rId45" display="https://www.milehighgliding.com/"/>
    <hyperlink ref="Q48" r:id="rId46" display="https://www.soarboulder.org/"/>
    <hyperlink ref="Q49" r:id="rId47" display="https://utahsoaring.org/"/>
    <hyperlink ref="Q50" r:id="rId48" display="https://azsoaring.com/"/>
    <hyperlink ref="Q51" r:id="rId49" display="https://www.lvvsa.org/"/>
    <hyperlink ref="Q52" r:id="rId50" display="https://www.merlinaviation.net/"/>
    <hyperlink ref="Q53" r:id="rId51" display="https://soaringnv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48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4" t="s">
        <v>25</v>
      </c>
      <c r="B1" s="4" t="s">
        <v>26</v>
      </c>
      <c r="C1" s="4" t="s">
        <v>34</v>
      </c>
      <c r="D1" s="4" t="s">
        <v>540</v>
      </c>
      <c r="E1" s="4" t="s">
        <v>541</v>
      </c>
      <c r="F1" s="4" t="s">
        <v>542</v>
      </c>
      <c r="G1" s="4" t="s">
        <v>543</v>
      </c>
    </row>
    <row r="2" customFormat="false" ht="46.25" hidden="false" customHeight="false" outlineLevel="0" collapsed="false">
      <c r="A2" s="5" t="s">
        <v>44</v>
      </c>
      <c r="B2" s="5" t="s">
        <v>45</v>
      </c>
      <c r="C2" s="6" t="s">
        <v>54</v>
      </c>
      <c r="D2" s="5" t="s">
        <v>544</v>
      </c>
      <c r="E2" s="5" t="s">
        <v>545</v>
      </c>
      <c r="F2" s="5" t="s">
        <v>546</v>
      </c>
      <c r="G2" s="5" t="s">
        <v>547</v>
      </c>
    </row>
    <row r="3" customFormat="false" ht="57.45" hidden="false" customHeight="false" outlineLevel="0" collapsed="false">
      <c r="A3" s="5" t="s">
        <v>60</v>
      </c>
      <c r="B3" s="5" t="s">
        <v>61</v>
      </c>
      <c r="C3" s="8" t="s">
        <v>69</v>
      </c>
      <c r="D3" s="5" t="s">
        <v>548</v>
      </c>
      <c r="E3" s="5" t="s">
        <v>549</v>
      </c>
      <c r="F3" s="5" t="s">
        <v>550</v>
      </c>
      <c r="G3" s="5" t="s">
        <v>551</v>
      </c>
    </row>
    <row r="4" customFormat="false" ht="35.05" hidden="false" customHeight="false" outlineLevel="0" collapsed="false">
      <c r="A4" s="5" t="s">
        <v>74</v>
      </c>
      <c r="B4" s="5" t="s">
        <v>75</v>
      </c>
      <c r="C4" s="9" t="s">
        <v>81</v>
      </c>
      <c r="D4" s="5" t="s">
        <v>552</v>
      </c>
      <c r="E4" s="5" t="s">
        <v>553</v>
      </c>
      <c r="F4" s="5" t="s">
        <v>554</v>
      </c>
      <c r="G4" s="5" t="s">
        <v>555</v>
      </c>
    </row>
    <row r="5" customFormat="false" ht="35.05" hidden="false" customHeight="false" outlineLevel="0" collapsed="false">
      <c r="A5" s="5" t="s">
        <v>86</v>
      </c>
      <c r="B5" s="5" t="s">
        <v>87</v>
      </c>
      <c r="C5" s="8" t="s">
        <v>69</v>
      </c>
      <c r="D5" s="5" t="s">
        <v>556</v>
      </c>
      <c r="E5" s="5" t="s">
        <v>557</v>
      </c>
      <c r="F5" s="5" t="s">
        <v>558</v>
      </c>
      <c r="G5" s="5" t="s">
        <v>559</v>
      </c>
    </row>
    <row r="6" customFormat="false" ht="23.85" hidden="false" customHeight="false" outlineLevel="0" collapsed="false">
      <c r="A6" s="5" t="s">
        <v>96</v>
      </c>
      <c r="B6" s="5" t="s">
        <v>97</v>
      </c>
      <c r="C6" s="8" t="s">
        <v>69</v>
      </c>
      <c r="D6" s="5" t="s">
        <v>560</v>
      </c>
      <c r="E6" s="5" t="s">
        <v>561</v>
      </c>
      <c r="F6" s="5" t="s">
        <v>562</v>
      </c>
      <c r="G6" s="5" t="s">
        <v>563</v>
      </c>
    </row>
    <row r="7" customFormat="false" ht="35.05" hidden="false" customHeight="false" outlineLevel="0" collapsed="false">
      <c r="A7" s="5" t="s">
        <v>105</v>
      </c>
      <c r="B7" s="5" t="s">
        <v>106</v>
      </c>
      <c r="C7" s="10" t="s">
        <v>112</v>
      </c>
      <c r="D7" s="5" t="s">
        <v>564</v>
      </c>
      <c r="E7" s="5" t="s">
        <v>565</v>
      </c>
      <c r="F7" s="5" t="s">
        <v>566</v>
      </c>
      <c r="G7" s="5" t="s">
        <v>567</v>
      </c>
    </row>
    <row r="8" customFormat="false" ht="35.05" hidden="false" customHeight="false" outlineLevel="0" collapsed="false">
      <c r="A8" s="5" t="s">
        <v>117</v>
      </c>
      <c r="B8" s="5" t="s">
        <v>118</v>
      </c>
      <c r="C8" s="8" t="s">
        <v>69</v>
      </c>
      <c r="D8" s="5" t="s">
        <v>568</v>
      </c>
      <c r="E8" s="5" t="s">
        <v>569</v>
      </c>
      <c r="F8" s="5" t="s">
        <v>570</v>
      </c>
      <c r="G8" s="5" t="s">
        <v>571</v>
      </c>
    </row>
    <row r="9" customFormat="false" ht="23.85" hidden="false" customHeight="false" outlineLevel="0" collapsed="false">
      <c r="A9" s="5" t="s">
        <v>126</v>
      </c>
      <c r="B9" s="5" t="s">
        <v>127</v>
      </c>
      <c r="C9" s="8" t="s">
        <v>69</v>
      </c>
      <c r="D9" s="5" t="s">
        <v>572</v>
      </c>
      <c r="E9" s="5" t="s">
        <v>573</v>
      </c>
      <c r="F9" s="5" t="s">
        <v>574</v>
      </c>
      <c r="G9" s="5" t="s">
        <v>136</v>
      </c>
    </row>
    <row r="10" customFormat="false" ht="23.85" hidden="false" customHeight="false" outlineLevel="0" collapsed="false">
      <c r="A10" s="5" t="s">
        <v>137</v>
      </c>
      <c r="B10" s="5" t="s">
        <v>138</v>
      </c>
      <c r="C10" s="11" t="s">
        <v>145</v>
      </c>
      <c r="D10" s="5" t="s">
        <v>575</v>
      </c>
      <c r="E10" s="5"/>
      <c r="F10" s="5"/>
      <c r="G10" s="5" t="s">
        <v>576</v>
      </c>
    </row>
    <row r="11" customFormat="false" ht="23.85" hidden="false" customHeight="false" outlineLevel="0" collapsed="false">
      <c r="A11" s="5" t="s">
        <v>147</v>
      </c>
      <c r="B11" s="5" t="s">
        <v>148</v>
      </c>
      <c r="C11" s="11" t="s">
        <v>145</v>
      </c>
      <c r="D11" s="5" t="s">
        <v>577</v>
      </c>
      <c r="E11" s="5"/>
      <c r="F11" s="5"/>
      <c r="G11" s="5" t="s">
        <v>578</v>
      </c>
    </row>
    <row r="12" customFormat="false" ht="35.05" hidden="false" customHeight="false" outlineLevel="0" collapsed="false">
      <c r="A12" s="5" t="s">
        <v>156</v>
      </c>
      <c r="B12" s="5" t="s">
        <v>157</v>
      </c>
      <c r="C12" s="6" t="s">
        <v>54</v>
      </c>
      <c r="D12" s="5" t="s">
        <v>579</v>
      </c>
      <c r="E12" s="5" t="s">
        <v>580</v>
      </c>
      <c r="F12" s="5" t="s">
        <v>581</v>
      </c>
      <c r="G12" s="5" t="s">
        <v>582</v>
      </c>
    </row>
    <row r="13" customFormat="false" ht="35.05" hidden="false" customHeight="false" outlineLevel="0" collapsed="false">
      <c r="A13" s="5" t="s">
        <v>167</v>
      </c>
      <c r="B13" s="5" t="s">
        <v>168</v>
      </c>
      <c r="C13" s="6" t="s">
        <v>54</v>
      </c>
      <c r="D13" s="5" t="s">
        <v>583</v>
      </c>
      <c r="E13" s="5" t="s">
        <v>584</v>
      </c>
      <c r="F13" s="5" t="s">
        <v>585</v>
      </c>
      <c r="G13" s="5" t="s">
        <v>586</v>
      </c>
    </row>
    <row r="14" customFormat="false" ht="35.05" hidden="false" customHeight="false" outlineLevel="0" collapsed="false">
      <c r="A14" s="5" t="s">
        <v>178</v>
      </c>
      <c r="B14" s="5" t="s">
        <v>179</v>
      </c>
      <c r="C14" s="9" t="s">
        <v>81</v>
      </c>
      <c r="D14" s="5" t="s">
        <v>587</v>
      </c>
      <c r="E14" s="5" t="s">
        <v>588</v>
      </c>
      <c r="F14" s="5" t="s">
        <v>589</v>
      </c>
      <c r="G14" s="5" t="s">
        <v>590</v>
      </c>
    </row>
    <row r="15" customFormat="false" ht="23.85" hidden="false" customHeight="false" outlineLevel="0" collapsed="false">
      <c r="A15" s="5" t="s">
        <v>188</v>
      </c>
      <c r="B15" s="5" t="s">
        <v>189</v>
      </c>
      <c r="C15" s="9" t="s">
        <v>81</v>
      </c>
      <c r="D15" s="5" t="s">
        <v>591</v>
      </c>
      <c r="E15" s="5" t="s">
        <v>592</v>
      </c>
      <c r="F15" s="5" t="s">
        <v>593</v>
      </c>
      <c r="G15" s="5" t="s">
        <v>594</v>
      </c>
    </row>
    <row r="16" customFormat="false" ht="23.85" hidden="false" customHeight="false" outlineLevel="0" collapsed="false">
      <c r="A16" s="5" t="s">
        <v>195</v>
      </c>
      <c r="B16" s="5" t="s">
        <v>196</v>
      </c>
      <c r="C16" s="9" t="s">
        <v>81</v>
      </c>
      <c r="D16" s="5" t="s">
        <v>595</v>
      </c>
      <c r="E16" s="5" t="s">
        <v>596</v>
      </c>
      <c r="F16" s="5" t="s">
        <v>597</v>
      </c>
      <c r="G16" s="5" t="s">
        <v>598</v>
      </c>
    </row>
    <row r="17" customFormat="false" ht="35.05" hidden="false" customHeight="false" outlineLevel="0" collapsed="false">
      <c r="A17" s="5" t="s">
        <v>205</v>
      </c>
      <c r="B17" s="5" t="s">
        <v>206</v>
      </c>
      <c r="C17" s="8" t="s">
        <v>69</v>
      </c>
      <c r="D17" s="5" t="s">
        <v>599</v>
      </c>
      <c r="E17" s="5" t="s">
        <v>600</v>
      </c>
      <c r="F17" s="5" t="s">
        <v>601</v>
      </c>
      <c r="G17" s="5" t="s">
        <v>602</v>
      </c>
    </row>
    <row r="18" customFormat="false" ht="23.85" hidden="false" customHeight="false" outlineLevel="0" collapsed="false">
      <c r="A18" s="5" t="s">
        <v>216</v>
      </c>
      <c r="B18" s="5" t="s">
        <v>217</v>
      </c>
      <c r="C18" s="9" t="s">
        <v>81</v>
      </c>
      <c r="D18" s="5" t="s">
        <v>603</v>
      </c>
      <c r="E18" s="5" t="s">
        <v>604</v>
      </c>
      <c r="F18" s="5" t="s">
        <v>605</v>
      </c>
      <c r="G18" s="5" t="s">
        <v>606</v>
      </c>
    </row>
    <row r="19" customFormat="false" ht="23.85" hidden="false" customHeight="false" outlineLevel="0" collapsed="false">
      <c r="A19" s="5" t="s">
        <v>226</v>
      </c>
      <c r="B19" s="5" t="s">
        <v>227</v>
      </c>
      <c r="C19" s="10" t="s">
        <v>112</v>
      </c>
      <c r="D19" s="5" t="s">
        <v>607</v>
      </c>
      <c r="E19" s="5" t="s">
        <v>608</v>
      </c>
      <c r="F19" s="5" t="s">
        <v>609</v>
      </c>
      <c r="G19" s="5" t="s">
        <v>610</v>
      </c>
    </row>
    <row r="20" customFormat="false" ht="23.85" hidden="false" customHeight="false" outlineLevel="0" collapsed="false">
      <c r="A20" s="5" t="s">
        <v>236</v>
      </c>
      <c r="B20" s="5" t="s">
        <v>237</v>
      </c>
      <c r="C20" s="9" t="s">
        <v>81</v>
      </c>
      <c r="D20" s="5" t="s">
        <v>611</v>
      </c>
      <c r="E20" s="5" t="s">
        <v>612</v>
      </c>
      <c r="F20" s="5" t="s">
        <v>613</v>
      </c>
      <c r="G20" s="5" t="s">
        <v>614</v>
      </c>
    </row>
    <row r="21" customFormat="false" ht="15" hidden="false" customHeight="false" outlineLevel="0" collapsed="false">
      <c r="A21" s="5" t="s">
        <v>244</v>
      </c>
      <c r="B21" s="5" t="s">
        <v>245</v>
      </c>
      <c r="C21" s="10" t="s">
        <v>112</v>
      </c>
      <c r="D21" s="5" t="s">
        <v>615</v>
      </c>
      <c r="E21" s="5"/>
      <c r="F21" s="5" t="s">
        <v>616</v>
      </c>
      <c r="G21" s="5" t="s">
        <v>617</v>
      </c>
    </row>
    <row r="22" customFormat="false" ht="23.85" hidden="false" customHeight="false" outlineLevel="0" collapsed="false">
      <c r="A22" s="5" t="s">
        <v>252</v>
      </c>
      <c r="B22" s="5" t="s">
        <v>253</v>
      </c>
      <c r="C22" s="8" t="s">
        <v>69</v>
      </c>
      <c r="D22" s="5" t="s">
        <v>618</v>
      </c>
      <c r="E22" s="5" t="s">
        <v>619</v>
      </c>
      <c r="F22" s="5" t="s">
        <v>620</v>
      </c>
      <c r="G22" s="5" t="s">
        <v>621</v>
      </c>
    </row>
    <row r="23" customFormat="false" ht="23.85" hidden="false" customHeight="false" outlineLevel="0" collapsed="false">
      <c r="A23" s="5" t="s">
        <v>258</v>
      </c>
      <c r="B23" s="5" t="s">
        <v>259</v>
      </c>
      <c r="C23" s="8" t="s">
        <v>69</v>
      </c>
      <c r="D23" s="5" t="s">
        <v>622</v>
      </c>
      <c r="E23" s="5" t="s">
        <v>623</v>
      </c>
      <c r="F23" s="5" t="s">
        <v>624</v>
      </c>
      <c r="G23" s="5" t="s">
        <v>625</v>
      </c>
    </row>
    <row r="24" customFormat="false" ht="23.85" hidden="false" customHeight="false" outlineLevel="0" collapsed="false">
      <c r="A24" s="5" t="s">
        <v>263</v>
      </c>
      <c r="B24" s="5" t="s">
        <v>264</v>
      </c>
      <c r="C24" s="8" t="s">
        <v>69</v>
      </c>
      <c r="D24" s="5" t="s">
        <v>626</v>
      </c>
      <c r="E24" s="5" t="s">
        <v>627</v>
      </c>
      <c r="F24" s="5" t="s">
        <v>616</v>
      </c>
      <c r="G24" s="5" t="s">
        <v>628</v>
      </c>
    </row>
    <row r="25" customFormat="false" ht="35.05" hidden="false" customHeight="false" outlineLevel="0" collapsed="false">
      <c r="A25" s="5" t="s">
        <v>272</v>
      </c>
      <c r="B25" s="5" t="s">
        <v>273</v>
      </c>
      <c r="C25" s="9" t="s">
        <v>81</v>
      </c>
      <c r="D25" s="5" t="s">
        <v>629</v>
      </c>
      <c r="E25" s="5" t="s">
        <v>630</v>
      </c>
      <c r="F25" s="5" t="s">
        <v>631</v>
      </c>
      <c r="G25" s="5" t="s">
        <v>632</v>
      </c>
    </row>
    <row r="26" customFormat="false" ht="23.85" hidden="false" customHeight="false" outlineLevel="0" collapsed="false">
      <c r="A26" s="5" t="s">
        <v>282</v>
      </c>
      <c r="B26" s="5" t="s">
        <v>283</v>
      </c>
      <c r="C26" s="9" t="s">
        <v>81</v>
      </c>
      <c r="D26" s="5" t="s">
        <v>633</v>
      </c>
      <c r="E26" s="5" t="s">
        <v>634</v>
      </c>
      <c r="F26" s="5" t="s">
        <v>635</v>
      </c>
      <c r="G26" s="5" t="s">
        <v>636</v>
      </c>
    </row>
    <row r="27" customFormat="false" ht="23.85" hidden="false" customHeight="false" outlineLevel="0" collapsed="false">
      <c r="A27" s="5" t="s">
        <v>291</v>
      </c>
      <c r="B27" s="5" t="s">
        <v>292</v>
      </c>
      <c r="C27" s="9" t="s">
        <v>81</v>
      </c>
      <c r="D27" s="5" t="s">
        <v>637</v>
      </c>
      <c r="E27" s="5" t="s">
        <v>634</v>
      </c>
      <c r="F27" s="5" t="s">
        <v>638</v>
      </c>
      <c r="G27" s="5" t="s">
        <v>639</v>
      </c>
    </row>
    <row r="28" customFormat="false" ht="23.85" hidden="false" customHeight="false" outlineLevel="0" collapsed="false">
      <c r="A28" s="5" t="s">
        <v>299</v>
      </c>
      <c r="B28" s="5" t="s">
        <v>300</v>
      </c>
      <c r="C28" s="8" t="s">
        <v>69</v>
      </c>
      <c r="D28" s="5" t="s">
        <v>640</v>
      </c>
      <c r="E28" s="5" t="s">
        <v>641</v>
      </c>
      <c r="F28" s="5" t="s">
        <v>642</v>
      </c>
      <c r="G28" s="5" t="s">
        <v>643</v>
      </c>
    </row>
    <row r="29" customFormat="false" ht="23.85" hidden="false" customHeight="false" outlineLevel="0" collapsed="false">
      <c r="A29" s="5" t="s">
        <v>309</v>
      </c>
      <c r="B29" s="5" t="s">
        <v>310</v>
      </c>
      <c r="C29" s="11" t="s">
        <v>145</v>
      </c>
      <c r="D29" s="5" t="s">
        <v>644</v>
      </c>
      <c r="E29" s="5" t="s">
        <v>645</v>
      </c>
      <c r="F29" s="5" t="s">
        <v>646</v>
      </c>
      <c r="G29" s="5" t="s">
        <v>319</v>
      </c>
    </row>
    <row r="30" customFormat="false" ht="23.85" hidden="false" customHeight="false" outlineLevel="0" collapsed="false">
      <c r="A30" s="5" t="s">
        <v>320</v>
      </c>
      <c r="B30" s="5" t="s">
        <v>321</v>
      </c>
      <c r="C30" s="8" t="s">
        <v>69</v>
      </c>
      <c r="D30" s="5" t="s">
        <v>647</v>
      </c>
      <c r="E30" s="5" t="s">
        <v>648</v>
      </c>
      <c r="F30" s="5" t="s">
        <v>649</v>
      </c>
      <c r="G30" s="5" t="s">
        <v>650</v>
      </c>
    </row>
    <row r="31" customFormat="false" ht="35.05" hidden="false" customHeight="false" outlineLevel="0" collapsed="false">
      <c r="A31" s="5" t="s">
        <v>328</v>
      </c>
      <c r="B31" s="5" t="s">
        <v>329</v>
      </c>
      <c r="C31" s="6" t="s">
        <v>54</v>
      </c>
      <c r="D31" s="5" t="s">
        <v>651</v>
      </c>
      <c r="E31" s="5" t="s">
        <v>652</v>
      </c>
      <c r="F31" s="5" t="s">
        <v>653</v>
      </c>
      <c r="G31" s="5" t="s">
        <v>654</v>
      </c>
    </row>
    <row r="32" customFormat="false" ht="15" hidden="false" customHeight="false" outlineLevel="0" collapsed="false">
      <c r="A32" s="5" t="s">
        <v>340</v>
      </c>
      <c r="B32" s="5" t="s">
        <v>341</v>
      </c>
      <c r="C32" s="10" t="s">
        <v>112</v>
      </c>
      <c r="D32" s="5" t="s">
        <v>655</v>
      </c>
      <c r="E32" s="5" t="s">
        <v>656</v>
      </c>
      <c r="F32" s="5" t="s">
        <v>657</v>
      </c>
      <c r="G32" s="5" t="s">
        <v>658</v>
      </c>
    </row>
    <row r="33" customFormat="false" ht="23.85" hidden="false" customHeight="false" outlineLevel="0" collapsed="false">
      <c r="A33" s="5" t="s">
        <v>350</v>
      </c>
      <c r="B33" s="5" t="s">
        <v>351</v>
      </c>
      <c r="C33" s="8" t="s">
        <v>69</v>
      </c>
      <c r="D33" s="5" t="s">
        <v>659</v>
      </c>
      <c r="E33" s="5" t="s">
        <v>660</v>
      </c>
      <c r="F33" s="5" t="s">
        <v>661</v>
      </c>
      <c r="G33" s="5" t="s">
        <v>662</v>
      </c>
    </row>
    <row r="34" customFormat="false" ht="23.85" hidden="false" customHeight="false" outlineLevel="0" collapsed="false">
      <c r="A34" s="5" t="s">
        <v>356</v>
      </c>
      <c r="B34" s="5" t="s">
        <v>357</v>
      </c>
      <c r="C34" s="8" t="s">
        <v>69</v>
      </c>
      <c r="D34" s="5" t="s">
        <v>663</v>
      </c>
      <c r="E34" s="5"/>
      <c r="F34" s="5"/>
      <c r="G34" s="5" t="s">
        <v>365</v>
      </c>
    </row>
    <row r="35" customFormat="false" ht="23.85" hidden="false" customHeight="false" outlineLevel="0" collapsed="false">
      <c r="A35" s="5" t="s">
        <v>366</v>
      </c>
      <c r="B35" s="5" t="s">
        <v>367</v>
      </c>
      <c r="C35" s="8" t="s">
        <v>69</v>
      </c>
      <c r="D35" s="5" t="s">
        <v>647</v>
      </c>
      <c r="E35" s="5" t="s">
        <v>664</v>
      </c>
      <c r="F35" s="5" t="s">
        <v>665</v>
      </c>
      <c r="G35" s="5" t="s">
        <v>666</v>
      </c>
    </row>
    <row r="36" customFormat="false" ht="23.85" hidden="false" customHeight="false" outlineLevel="0" collapsed="false">
      <c r="A36" s="5" t="s">
        <v>374</v>
      </c>
      <c r="B36" s="5" t="s">
        <v>375</v>
      </c>
      <c r="C36" s="8" t="s">
        <v>69</v>
      </c>
      <c r="D36" s="5" t="s">
        <v>667</v>
      </c>
      <c r="E36" s="5"/>
      <c r="F36" s="5" t="s">
        <v>668</v>
      </c>
      <c r="G36" s="5" t="s">
        <v>382</v>
      </c>
    </row>
    <row r="37" customFormat="false" ht="23.85" hidden="false" customHeight="false" outlineLevel="0" collapsed="false">
      <c r="A37" s="5" t="s">
        <v>383</v>
      </c>
      <c r="B37" s="5" t="s">
        <v>384</v>
      </c>
      <c r="C37" s="9" t="s">
        <v>81</v>
      </c>
      <c r="D37" s="5" t="s">
        <v>669</v>
      </c>
      <c r="E37" s="5" t="s">
        <v>670</v>
      </c>
      <c r="F37" s="5" t="s">
        <v>671</v>
      </c>
      <c r="G37" s="5" t="s">
        <v>672</v>
      </c>
    </row>
    <row r="38" customFormat="false" ht="23.85" hidden="false" customHeight="false" outlineLevel="0" collapsed="false">
      <c r="A38" s="5" t="s">
        <v>393</v>
      </c>
      <c r="B38" s="5" t="s">
        <v>394</v>
      </c>
      <c r="C38" s="8" t="s">
        <v>69</v>
      </c>
      <c r="D38" s="5" t="s">
        <v>673</v>
      </c>
      <c r="E38" s="5" t="s">
        <v>674</v>
      </c>
      <c r="F38" s="5" t="s">
        <v>675</v>
      </c>
      <c r="G38" s="5" t="s">
        <v>676</v>
      </c>
    </row>
    <row r="39" customFormat="false" ht="23.85" hidden="false" customHeight="false" outlineLevel="0" collapsed="false">
      <c r="A39" s="5" t="s">
        <v>401</v>
      </c>
      <c r="B39" s="5" t="s">
        <v>402</v>
      </c>
      <c r="C39" s="8" t="s">
        <v>69</v>
      </c>
      <c r="D39" s="5" t="s">
        <v>677</v>
      </c>
      <c r="E39" s="5" t="s">
        <v>678</v>
      </c>
      <c r="F39" s="5" t="s">
        <v>679</v>
      </c>
      <c r="G39" s="5" t="s">
        <v>680</v>
      </c>
    </row>
    <row r="40" customFormat="false" ht="23.85" hidden="false" customHeight="false" outlineLevel="0" collapsed="false">
      <c r="A40" s="5" t="s">
        <v>410</v>
      </c>
      <c r="B40" s="5" t="s">
        <v>411</v>
      </c>
      <c r="C40" s="8" t="s">
        <v>69</v>
      </c>
      <c r="D40" s="5" t="s">
        <v>681</v>
      </c>
      <c r="E40" s="5" t="s">
        <v>682</v>
      </c>
      <c r="F40" s="5" t="s">
        <v>683</v>
      </c>
      <c r="G40" s="5" t="s">
        <v>684</v>
      </c>
    </row>
    <row r="41" customFormat="false" ht="35.05" hidden="false" customHeight="false" outlineLevel="0" collapsed="false">
      <c r="A41" s="5" t="s">
        <v>419</v>
      </c>
      <c r="B41" s="5" t="s">
        <v>420</v>
      </c>
      <c r="C41" s="6" t="s">
        <v>54</v>
      </c>
      <c r="D41" s="5" t="s">
        <v>685</v>
      </c>
      <c r="E41" s="5" t="s">
        <v>686</v>
      </c>
      <c r="F41" s="5" t="s">
        <v>687</v>
      </c>
      <c r="G41" s="5" t="s">
        <v>688</v>
      </c>
    </row>
    <row r="42" customFormat="false" ht="23.85" hidden="false" customHeight="false" outlineLevel="0" collapsed="false">
      <c r="A42" s="5" t="s">
        <v>430</v>
      </c>
      <c r="B42" s="5" t="s">
        <v>431</v>
      </c>
      <c r="C42" s="6" t="s">
        <v>54</v>
      </c>
      <c r="D42" s="5" t="s">
        <v>689</v>
      </c>
      <c r="E42" s="5" t="s">
        <v>690</v>
      </c>
      <c r="F42" s="5" t="s">
        <v>691</v>
      </c>
      <c r="G42" s="5" t="s">
        <v>692</v>
      </c>
    </row>
    <row r="43" customFormat="false" ht="23.85" hidden="false" customHeight="false" outlineLevel="0" collapsed="false">
      <c r="A43" s="5" t="s">
        <v>439</v>
      </c>
      <c r="B43" s="5" t="s">
        <v>440</v>
      </c>
      <c r="C43" s="8" t="s">
        <v>69</v>
      </c>
      <c r="D43" s="5" t="s">
        <v>693</v>
      </c>
      <c r="E43" s="5" t="s">
        <v>694</v>
      </c>
      <c r="F43" s="5" t="s">
        <v>695</v>
      </c>
      <c r="G43" s="5" t="s">
        <v>696</v>
      </c>
    </row>
    <row r="44" customFormat="false" ht="35.05" hidden="false" customHeight="false" outlineLevel="0" collapsed="false">
      <c r="A44" s="5" t="s">
        <v>447</v>
      </c>
      <c r="B44" s="5" t="s">
        <v>448</v>
      </c>
      <c r="C44" s="9" t="s">
        <v>81</v>
      </c>
      <c r="D44" s="5" t="s">
        <v>697</v>
      </c>
      <c r="E44" s="5" t="s">
        <v>698</v>
      </c>
      <c r="F44" s="5" t="s">
        <v>699</v>
      </c>
      <c r="G44" s="5" t="s">
        <v>700</v>
      </c>
    </row>
    <row r="45" customFormat="false" ht="23.85" hidden="false" customHeight="false" outlineLevel="0" collapsed="false">
      <c r="A45" s="5" t="s">
        <v>458</v>
      </c>
      <c r="B45" s="5" t="s">
        <v>459</v>
      </c>
      <c r="C45" s="9" t="s">
        <v>81</v>
      </c>
      <c r="D45" s="5" t="s">
        <v>701</v>
      </c>
      <c r="E45" s="5" t="s">
        <v>702</v>
      </c>
      <c r="F45" s="5" t="s">
        <v>703</v>
      </c>
      <c r="G45" s="5" t="s">
        <v>704</v>
      </c>
    </row>
    <row r="46" customFormat="false" ht="23.85" hidden="false" customHeight="false" outlineLevel="0" collapsed="false">
      <c r="A46" s="5" t="s">
        <v>465</v>
      </c>
      <c r="B46" s="5" t="s">
        <v>466</v>
      </c>
      <c r="C46" s="9" t="s">
        <v>81</v>
      </c>
      <c r="D46" s="5" t="s">
        <v>705</v>
      </c>
      <c r="E46" s="5" t="s">
        <v>706</v>
      </c>
      <c r="F46" s="5" t="s">
        <v>616</v>
      </c>
      <c r="G46" s="5" t="s">
        <v>474</v>
      </c>
    </row>
    <row r="47" customFormat="false" ht="23.85" hidden="false" customHeight="false" outlineLevel="0" collapsed="false">
      <c r="A47" s="5" t="s">
        <v>475</v>
      </c>
      <c r="B47" s="5" t="s">
        <v>476</v>
      </c>
      <c r="C47" s="6" t="s">
        <v>54</v>
      </c>
      <c r="D47" s="5" t="s">
        <v>707</v>
      </c>
      <c r="E47" s="5" t="s">
        <v>569</v>
      </c>
      <c r="F47" s="5" t="s">
        <v>708</v>
      </c>
      <c r="G47" s="5" t="s">
        <v>709</v>
      </c>
    </row>
    <row r="48" customFormat="false" ht="23.85" hidden="false" customHeight="false" outlineLevel="0" collapsed="false">
      <c r="A48" s="5" t="s">
        <v>486</v>
      </c>
      <c r="B48" s="5" t="s">
        <v>487</v>
      </c>
      <c r="C48" s="9" t="s">
        <v>81</v>
      </c>
      <c r="D48" s="5" t="s">
        <v>710</v>
      </c>
      <c r="E48" s="5" t="s">
        <v>711</v>
      </c>
      <c r="F48" s="5" t="s">
        <v>712</v>
      </c>
      <c r="G48" s="5" t="s">
        <v>713</v>
      </c>
    </row>
    <row r="49" customFormat="false" ht="23.85" hidden="false" customHeight="false" outlineLevel="0" collapsed="false">
      <c r="A49" s="5" t="s">
        <v>491</v>
      </c>
      <c r="B49" s="5" t="s">
        <v>492</v>
      </c>
      <c r="C49" s="8" t="s">
        <v>69</v>
      </c>
      <c r="D49" s="5" t="s">
        <v>714</v>
      </c>
      <c r="E49" s="5" t="s">
        <v>715</v>
      </c>
      <c r="F49" s="5" t="s">
        <v>716</v>
      </c>
      <c r="G49" s="5" t="s">
        <v>717</v>
      </c>
    </row>
    <row r="50" customFormat="false" ht="35.05" hidden="false" customHeight="false" outlineLevel="0" collapsed="false">
      <c r="A50" s="5" t="s">
        <v>502</v>
      </c>
      <c r="B50" s="5" t="s">
        <v>503</v>
      </c>
      <c r="C50" s="6" t="s">
        <v>54</v>
      </c>
      <c r="D50" s="5" t="s">
        <v>718</v>
      </c>
      <c r="E50" s="5" t="s">
        <v>719</v>
      </c>
      <c r="F50" s="5" t="s">
        <v>720</v>
      </c>
      <c r="G50" s="5" t="s">
        <v>721</v>
      </c>
    </row>
    <row r="51" customFormat="false" ht="23.85" hidden="false" customHeight="false" outlineLevel="0" collapsed="false">
      <c r="A51" s="5" t="s">
        <v>514</v>
      </c>
      <c r="B51" s="5" t="s">
        <v>515</v>
      </c>
      <c r="C51" s="8" t="s">
        <v>69</v>
      </c>
      <c r="D51" s="5" t="s">
        <v>722</v>
      </c>
      <c r="E51" s="5" t="s">
        <v>723</v>
      </c>
      <c r="F51" s="5" t="s">
        <v>724</v>
      </c>
      <c r="G51" s="5" t="s">
        <v>725</v>
      </c>
    </row>
    <row r="52" customFormat="false" ht="15" hidden="false" customHeight="false" outlineLevel="0" collapsed="false">
      <c r="A52" s="5" t="s">
        <v>522</v>
      </c>
      <c r="B52" s="5" t="s">
        <v>523</v>
      </c>
      <c r="C52" s="10" t="s">
        <v>112</v>
      </c>
      <c r="D52" s="5" t="s">
        <v>726</v>
      </c>
      <c r="E52" s="5" t="s">
        <v>727</v>
      </c>
      <c r="F52" s="5"/>
      <c r="G52" s="5" t="s">
        <v>530</v>
      </c>
    </row>
    <row r="53" customFormat="false" ht="23.85" hidden="false" customHeight="false" outlineLevel="0" collapsed="false">
      <c r="A53" s="5" t="s">
        <v>531</v>
      </c>
      <c r="B53" s="5" t="s">
        <v>532</v>
      </c>
      <c r="C53" s="6" t="s">
        <v>54</v>
      </c>
      <c r="D53" s="5" t="s">
        <v>728</v>
      </c>
      <c r="E53" s="5"/>
      <c r="F53" s="5" t="s">
        <v>729</v>
      </c>
      <c r="G53" s="5" t="s">
        <v>730</v>
      </c>
    </row>
  </sheetData>
  <autoFilter ref="A1:G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11"/>
  </cols>
  <sheetData>
    <row r="1" customFormat="false" ht="46.25" hidden="false" customHeight="false" outlineLevel="0" collapsed="false">
      <c r="A1" s="4" t="s">
        <v>731</v>
      </c>
      <c r="B1" s="4" t="s">
        <v>27</v>
      </c>
      <c r="C1" s="4" t="s">
        <v>732</v>
      </c>
      <c r="D1" s="4" t="s">
        <v>733</v>
      </c>
      <c r="E1" s="4" t="s">
        <v>734</v>
      </c>
      <c r="F1" s="4" t="s">
        <v>735</v>
      </c>
      <c r="G1" s="4" t="s">
        <v>736</v>
      </c>
      <c r="H1" s="4" t="s">
        <v>737</v>
      </c>
      <c r="I1" s="4" t="s">
        <v>738</v>
      </c>
      <c r="J1" s="4" t="s">
        <v>739</v>
      </c>
      <c r="K1" s="4" t="s">
        <v>740</v>
      </c>
    </row>
    <row r="2" customFormat="false" ht="15" hidden="false" customHeight="false" outlineLevel="0" collapsed="false">
      <c r="A2" s="5" t="s">
        <v>741</v>
      </c>
      <c r="B2" s="5" t="s">
        <v>742</v>
      </c>
      <c r="C2" s="5" t="s">
        <v>743</v>
      </c>
      <c r="D2" s="5" t="n">
        <v>2</v>
      </c>
      <c r="E2" s="5" t="n">
        <v>15.5</v>
      </c>
      <c r="F2" s="5" t="n">
        <v>23</v>
      </c>
      <c r="G2" s="5" t="n">
        <v>39</v>
      </c>
      <c r="H2" s="5" t="n">
        <v>185</v>
      </c>
      <c r="I2" s="5" t="n">
        <v>85</v>
      </c>
      <c r="J2" s="5" t="s">
        <v>744</v>
      </c>
      <c r="K2" s="5" t="s">
        <v>745</v>
      </c>
    </row>
    <row r="3" customFormat="false" ht="15" hidden="false" customHeight="false" outlineLevel="0" collapsed="false">
      <c r="A3" s="5" t="s">
        <v>746</v>
      </c>
      <c r="B3" s="5" t="s">
        <v>747</v>
      </c>
      <c r="C3" s="5" t="s">
        <v>748</v>
      </c>
      <c r="D3" s="5" t="n">
        <v>3</v>
      </c>
      <c r="E3" s="5" t="n">
        <v>17.4</v>
      </c>
      <c r="F3" s="5" t="n">
        <v>34</v>
      </c>
      <c r="G3" s="5" t="n">
        <v>51</v>
      </c>
      <c r="H3" s="5" t="n">
        <v>144</v>
      </c>
      <c r="I3" s="5" t="n">
        <v>137</v>
      </c>
      <c r="J3" s="5" t="s">
        <v>744</v>
      </c>
      <c r="K3" s="5" t="s">
        <v>745</v>
      </c>
    </row>
    <row r="4" customFormat="false" ht="15" hidden="false" customHeight="false" outlineLevel="0" collapsed="false">
      <c r="A4" s="5" t="s">
        <v>749</v>
      </c>
      <c r="B4" s="5" t="s">
        <v>750</v>
      </c>
      <c r="C4" s="5" t="s">
        <v>751</v>
      </c>
      <c r="D4" s="5" t="n">
        <v>2</v>
      </c>
      <c r="E4" s="5" t="n">
        <v>13.4</v>
      </c>
      <c r="F4" s="5" t="n">
        <v>17</v>
      </c>
      <c r="G4" s="5" t="n">
        <v>42</v>
      </c>
      <c r="H4" s="5" t="n">
        <v>197</v>
      </c>
      <c r="I4" s="5" t="n">
        <v>63</v>
      </c>
      <c r="J4" s="5" t="s">
        <v>752</v>
      </c>
      <c r="K4" s="5" t="s">
        <v>753</v>
      </c>
    </row>
    <row r="5" customFormat="false" ht="15" hidden="false" customHeight="false" outlineLevel="0" collapsed="false">
      <c r="A5" s="5" t="s">
        <v>754</v>
      </c>
      <c r="B5" s="5" t="s">
        <v>755</v>
      </c>
      <c r="C5" s="5" t="s">
        <v>756</v>
      </c>
      <c r="D5" s="5" t="n">
        <v>1</v>
      </c>
      <c r="E5" s="5" t="n">
        <v>12.2</v>
      </c>
      <c r="F5" s="5" t="n">
        <v>23</v>
      </c>
      <c r="G5" s="5" t="n">
        <v>46</v>
      </c>
      <c r="H5" s="5" t="n">
        <v>161</v>
      </c>
      <c r="I5" s="5" t="n">
        <v>99</v>
      </c>
      <c r="J5" s="5" t="s">
        <v>757</v>
      </c>
      <c r="K5" s="5" t="s">
        <v>745</v>
      </c>
    </row>
    <row r="6" customFormat="false" ht="15" hidden="false" customHeight="false" outlineLevel="0" collapsed="false">
      <c r="A6" s="5" t="s">
        <v>758</v>
      </c>
      <c r="B6" s="5" t="s">
        <v>759</v>
      </c>
      <c r="C6" s="5" t="s">
        <v>760</v>
      </c>
      <c r="D6" s="5" t="n">
        <v>1</v>
      </c>
      <c r="E6" s="5" t="n">
        <v>15</v>
      </c>
      <c r="F6" s="5" t="n">
        <v>34</v>
      </c>
      <c r="G6" s="5" t="n">
        <v>46</v>
      </c>
      <c r="H6" s="5" t="n">
        <v>132</v>
      </c>
      <c r="I6" s="5" t="n">
        <v>114</v>
      </c>
      <c r="J6" s="5" t="s">
        <v>761</v>
      </c>
      <c r="K6" s="5" t="s">
        <v>745</v>
      </c>
    </row>
    <row r="7" customFormat="false" ht="15" hidden="false" customHeight="false" outlineLevel="0" collapsed="false">
      <c r="A7" s="5" t="s">
        <v>762</v>
      </c>
      <c r="B7" s="5" t="s">
        <v>763</v>
      </c>
      <c r="C7" s="5" t="s">
        <v>764</v>
      </c>
      <c r="D7" s="5" t="n">
        <v>1</v>
      </c>
      <c r="E7" s="5" t="n">
        <v>15</v>
      </c>
      <c r="F7" s="5" t="n">
        <v>38</v>
      </c>
      <c r="G7" s="5" t="n">
        <v>52</v>
      </c>
      <c r="H7" s="5" t="n">
        <v>120</v>
      </c>
      <c r="I7" s="5" t="n">
        <v>130</v>
      </c>
      <c r="J7" s="5" t="s">
        <v>765</v>
      </c>
      <c r="K7" s="5" t="s">
        <v>753</v>
      </c>
    </row>
    <row r="8" customFormat="false" ht="15" hidden="false" customHeight="false" outlineLevel="0" collapsed="false">
      <c r="A8" s="5" t="s">
        <v>766</v>
      </c>
      <c r="B8" s="5" t="s">
        <v>767</v>
      </c>
      <c r="C8" s="5" t="s">
        <v>768</v>
      </c>
      <c r="D8" s="5" t="n">
        <v>1</v>
      </c>
      <c r="E8" s="5" t="n">
        <v>14.1</v>
      </c>
      <c r="F8" s="5" t="n">
        <v>31</v>
      </c>
      <c r="G8" s="5" t="n">
        <v>46</v>
      </c>
      <c r="H8" s="5" t="n">
        <v>132</v>
      </c>
      <c r="I8" s="5" t="n">
        <v>105</v>
      </c>
      <c r="J8" s="5" t="s">
        <v>761</v>
      </c>
      <c r="K8" s="5" t="s">
        <v>753</v>
      </c>
    </row>
    <row r="9" customFormat="false" ht="23.85" hidden="false" customHeight="false" outlineLevel="0" collapsed="false">
      <c r="A9" s="5" t="s">
        <v>769</v>
      </c>
      <c r="B9" s="5" t="s">
        <v>770</v>
      </c>
      <c r="C9" s="5" t="s">
        <v>771</v>
      </c>
      <c r="D9" s="5" t="n">
        <v>1</v>
      </c>
      <c r="E9" s="5" t="n">
        <v>15.2</v>
      </c>
      <c r="F9" s="5" t="n">
        <v>29</v>
      </c>
      <c r="G9" s="5" t="n">
        <v>43</v>
      </c>
      <c r="H9" s="5" t="n">
        <v>138</v>
      </c>
      <c r="I9" s="5" t="n">
        <v>121</v>
      </c>
      <c r="J9" s="5" t="s">
        <v>144</v>
      </c>
      <c r="K9" s="5" t="s">
        <v>753</v>
      </c>
    </row>
    <row r="10" customFormat="false" ht="15" hidden="false" customHeight="false" outlineLevel="0" collapsed="false">
      <c r="A10" s="5" t="s">
        <v>772</v>
      </c>
      <c r="B10" s="5" t="s">
        <v>773</v>
      </c>
      <c r="C10" s="5" t="s">
        <v>743</v>
      </c>
      <c r="D10" s="5" t="n">
        <v>2</v>
      </c>
      <c r="E10" s="5" t="n">
        <v>16.2</v>
      </c>
      <c r="F10" s="5" t="n">
        <v>28</v>
      </c>
      <c r="G10" s="5" t="n">
        <v>49</v>
      </c>
      <c r="H10" s="5" t="n">
        <v>148</v>
      </c>
      <c r="I10" s="5" t="n">
        <v>135</v>
      </c>
      <c r="J10" s="5" t="s">
        <v>744</v>
      </c>
      <c r="K10" s="5" t="s">
        <v>745</v>
      </c>
    </row>
    <row r="11" customFormat="false" ht="15" hidden="false" customHeight="false" outlineLevel="0" collapsed="false">
      <c r="A11" s="5" t="s">
        <v>774</v>
      </c>
      <c r="B11" s="5" t="s">
        <v>775</v>
      </c>
      <c r="C11" s="5" t="s">
        <v>743</v>
      </c>
      <c r="D11" s="5" t="n">
        <v>2</v>
      </c>
      <c r="E11" s="5" t="n">
        <v>16.2</v>
      </c>
      <c r="F11" s="5" t="n">
        <v>28</v>
      </c>
      <c r="G11" s="5" t="n">
        <v>46</v>
      </c>
      <c r="H11" s="5" t="n">
        <v>161</v>
      </c>
      <c r="I11" s="5" t="n">
        <v>137</v>
      </c>
      <c r="J11" s="5" t="s">
        <v>744</v>
      </c>
      <c r="K11" s="5" t="s">
        <v>745</v>
      </c>
    </row>
    <row r="12" customFormat="false" ht="15" hidden="false" customHeight="false" outlineLevel="0" collapsed="false">
      <c r="A12" s="5" t="s">
        <v>776</v>
      </c>
      <c r="B12" s="5" t="s">
        <v>777</v>
      </c>
      <c r="C12" s="5" t="s">
        <v>778</v>
      </c>
      <c r="D12" s="5" t="n">
        <v>1</v>
      </c>
      <c r="E12" s="5" t="n">
        <v>14.1</v>
      </c>
      <c r="F12" s="5" t="n">
        <v>34</v>
      </c>
      <c r="G12" s="5" t="n">
        <v>46</v>
      </c>
      <c r="H12" s="5" t="n">
        <v>130</v>
      </c>
      <c r="I12" s="5" t="n">
        <v>135</v>
      </c>
      <c r="J12" s="5" t="s">
        <v>761</v>
      </c>
      <c r="K12" s="5" t="s">
        <v>753</v>
      </c>
    </row>
    <row r="13" customFormat="false" ht="23.85" hidden="false" customHeight="false" outlineLevel="0" collapsed="false">
      <c r="A13" s="5" t="s">
        <v>779</v>
      </c>
      <c r="B13" s="5" t="s">
        <v>780</v>
      </c>
      <c r="C13" s="5" t="s">
        <v>781</v>
      </c>
      <c r="D13" s="5" t="n">
        <v>2</v>
      </c>
      <c r="E13" s="5" t="n">
        <v>17</v>
      </c>
      <c r="F13" s="5" t="n">
        <v>34</v>
      </c>
      <c r="G13" s="5" t="n">
        <v>49</v>
      </c>
      <c r="H13" s="5" t="n">
        <v>128</v>
      </c>
      <c r="I13" s="5" t="n">
        <v>151</v>
      </c>
      <c r="J13" s="5" t="s">
        <v>782</v>
      </c>
      <c r="K13" s="5" t="s">
        <v>745</v>
      </c>
    </row>
    <row r="14" customFormat="false" ht="15" hidden="false" customHeight="false" outlineLevel="0" collapsed="false">
      <c r="A14" s="5" t="s">
        <v>783</v>
      </c>
      <c r="B14" s="5" t="s">
        <v>784</v>
      </c>
      <c r="C14" s="5" t="s">
        <v>785</v>
      </c>
      <c r="D14" s="5" t="n">
        <v>2</v>
      </c>
      <c r="E14" s="5" t="n">
        <v>16</v>
      </c>
      <c r="F14" s="5" t="n">
        <v>28</v>
      </c>
      <c r="G14" s="5" t="n">
        <v>49</v>
      </c>
      <c r="H14" s="5" t="n">
        <v>159</v>
      </c>
      <c r="I14" s="5" t="n">
        <v>108</v>
      </c>
      <c r="J14" s="5" t="s">
        <v>744</v>
      </c>
      <c r="K14" s="5" t="s">
        <v>745</v>
      </c>
    </row>
    <row r="15" customFormat="false" ht="15" hidden="false" customHeight="false" outlineLevel="0" collapsed="false">
      <c r="A15" s="5" t="s">
        <v>786</v>
      </c>
      <c r="B15" s="5" t="s">
        <v>787</v>
      </c>
      <c r="C15" s="5" t="s">
        <v>788</v>
      </c>
      <c r="D15" s="5" t="n">
        <v>1</v>
      </c>
      <c r="E15" s="5" t="n">
        <v>15</v>
      </c>
      <c r="F15" s="5" t="n">
        <v>38.5</v>
      </c>
      <c r="G15" s="5" t="n">
        <v>54</v>
      </c>
      <c r="H15" s="5" t="n">
        <v>118</v>
      </c>
      <c r="I15" s="5" t="n">
        <v>138</v>
      </c>
      <c r="J15" s="5" t="s">
        <v>789</v>
      </c>
      <c r="K15" s="5" t="s">
        <v>745</v>
      </c>
    </row>
    <row r="16" customFormat="false" ht="15" hidden="false" customHeight="false" outlineLevel="0" collapsed="false">
      <c r="A16" s="5" t="s">
        <v>790</v>
      </c>
      <c r="B16" s="5" t="s">
        <v>791</v>
      </c>
      <c r="C16" s="5" t="s">
        <v>781</v>
      </c>
      <c r="D16" s="5" t="n">
        <v>2</v>
      </c>
      <c r="E16" s="5" t="n">
        <v>16</v>
      </c>
      <c r="F16" s="5" t="n">
        <v>34</v>
      </c>
      <c r="G16" s="5" t="n">
        <v>51</v>
      </c>
      <c r="H16" s="5" t="n">
        <v>146</v>
      </c>
      <c r="I16" s="5" t="n">
        <v>140</v>
      </c>
      <c r="J16" s="5" t="s">
        <v>792</v>
      </c>
      <c r="K16" s="5" t="s">
        <v>753</v>
      </c>
    </row>
    <row r="17" customFormat="false" ht="15" hidden="false" customHeight="false" outlineLevel="0" collapsed="false">
      <c r="A17" s="5" t="s">
        <v>793</v>
      </c>
      <c r="B17" s="5" t="s">
        <v>794</v>
      </c>
      <c r="C17" s="5" t="s">
        <v>795</v>
      </c>
      <c r="D17" s="5" t="n">
        <v>1</v>
      </c>
      <c r="E17" s="5" t="n">
        <v>13.44</v>
      </c>
      <c r="F17" s="5" t="n">
        <v>33</v>
      </c>
      <c r="G17" s="5" t="n">
        <v>43</v>
      </c>
      <c r="H17" s="5" t="n">
        <v>126</v>
      </c>
      <c r="I17" s="5" t="n">
        <v>119</v>
      </c>
      <c r="J17" s="5" t="s">
        <v>796</v>
      </c>
      <c r="K17" s="5" t="s">
        <v>745</v>
      </c>
    </row>
    <row r="18" customFormat="false" ht="15" hidden="false" customHeight="false" outlineLevel="0" collapsed="false">
      <c r="A18" s="5" t="s">
        <v>797</v>
      </c>
      <c r="B18" s="5" t="s">
        <v>798</v>
      </c>
      <c r="C18" s="5" t="s">
        <v>799</v>
      </c>
      <c r="D18" s="5" t="n">
        <v>2</v>
      </c>
      <c r="E18" s="5" t="n">
        <v>17.5</v>
      </c>
      <c r="F18" s="5" t="n">
        <v>36.5</v>
      </c>
      <c r="G18" s="5" t="n">
        <v>57</v>
      </c>
      <c r="H18" s="5" t="n">
        <v>122</v>
      </c>
      <c r="I18" s="5" t="n">
        <v>135</v>
      </c>
      <c r="J18" s="5" t="s">
        <v>800</v>
      </c>
      <c r="K18" s="5" t="s">
        <v>745</v>
      </c>
    </row>
    <row r="19" customFormat="false" ht="15" hidden="false" customHeight="false" outlineLevel="0" collapsed="false">
      <c r="A19" s="5" t="s">
        <v>801</v>
      </c>
      <c r="B19" s="5" t="s">
        <v>802</v>
      </c>
      <c r="C19" s="5" t="s">
        <v>799</v>
      </c>
      <c r="D19" s="5" t="n">
        <v>2</v>
      </c>
      <c r="E19" s="5" t="n">
        <v>18</v>
      </c>
      <c r="F19" s="5" t="n">
        <v>38</v>
      </c>
      <c r="G19" s="5" t="n">
        <v>57</v>
      </c>
      <c r="H19" s="5" t="n">
        <v>118</v>
      </c>
      <c r="I19" s="5" t="n">
        <v>140</v>
      </c>
      <c r="J19" s="5" t="s">
        <v>800</v>
      </c>
      <c r="K19" s="5" t="s">
        <v>753</v>
      </c>
    </row>
    <row r="20" customFormat="false" ht="15" hidden="false" customHeight="false" outlineLevel="0" collapsed="false">
      <c r="A20" s="5" t="s">
        <v>803</v>
      </c>
      <c r="B20" s="5" t="s">
        <v>804</v>
      </c>
      <c r="C20" s="5" t="s">
        <v>805</v>
      </c>
      <c r="D20" s="5" t="n">
        <v>1</v>
      </c>
      <c r="E20" s="5" t="n">
        <v>15</v>
      </c>
      <c r="F20" s="5" t="n">
        <v>37</v>
      </c>
      <c r="G20" s="5" t="n">
        <v>51</v>
      </c>
      <c r="H20" s="5" t="n">
        <v>122</v>
      </c>
      <c r="I20" s="5" t="n">
        <v>135</v>
      </c>
      <c r="J20" s="5" t="s">
        <v>744</v>
      </c>
      <c r="K20" s="5" t="s">
        <v>753</v>
      </c>
    </row>
    <row r="21" customFormat="false" ht="15" hidden="false" customHeight="false" outlineLevel="0" collapsed="false">
      <c r="A21" s="5" t="s">
        <v>806</v>
      </c>
      <c r="B21" s="5" t="s">
        <v>807</v>
      </c>
      <c r="C21" s="5" t="s">
        <v>808</v>
      </c>
      <c r="D21" s="5" t="n">
        <v>1</v>
      </c>
      <c r="E21" s="5" t="n">
        <v>15</v>
      </c>
      <c r="F21" s="5" t="n">
        <v>35</v>
      </c>
      <c r="G21" s="5" t="n">
        <v>46</v>
      </c>
      <c r="H21" s="5" t="n">
        <v>126</v>
      </c>
      <c r="I21" s="5" t="n">
        <v>130</v>
      </c>
      <c r="J21" s="5" t="s">
        <v>809</v>
      </c>
      <c r="K21" s="5" t="s">
        <v>745</v>
      </c>
    </row>
    <row r="22" customFormat="false" ht="15" hidden="false" customHeight="false" outlineLevel="0" collapsed="false">
      <c r="A22" s="5" t="s">
        <v>810</v>
      </c>
      <c r="B22" s="5" t="s">
        <v>811</v>
      </c>
      <c r="C22" s="5" t="s">
        <v>788</v>
      </c>
      <c r="D22" s="5" t="n">
        <v>1</v>
      </c>
      <c r="E22" s="5" t="n">
        <v>15</v>
      </c>
      <c r="F22" s="5" t="n">
        <v>40.5</v>
      </c>
      <c r="G22" s="5" t="n">
        <v>54</v>
      </c>
      <c r="H22" s="5" t="n">
        <v>118</v>
      </c>
      <c r="I22" s="5" t="n">
        <v>146</v>
      </c>
      <c r="J22" s="5" t="s">
        <v>744</v>
      </c>
      <c r="K22" s="5" t="s">
        <v>745</v>
      </c>
    </row>
    <row r="23" customFormat="false" ht="15" hidden="false" customHeight="false" outlineLevel="0" collapsed="false">
      <c r="A23" s="5" t="s">
        <v>812</v>
      </c>
      <c r="B23" s="5" t="s">
        <v>813</v>
      </c>
      <c r="C23" s="5" t="s">
        <v>814</v>
      </c>
      <c r="D23" s="5" t="n">
        <v>1</v>
      </c>
      <c r="E23" s="5" t="n">
        <v>15</v>
      </c>
      <c r="F23" s="5" t="n">
        <v>40</v>
      </c>
      <c r="G23" s="5" t="n">
        <v>54</v>
      </c>
      <c r="H23" s="5" t="n">
        <v>118</v>
      </c>
      <c r="I23" s="5" t="n">
        <v>146</v>
      </c>
      <c r="J23" s="5" t="s">
        <v>761</v>
      </c>
      <c r="K23" s="5" t="s">
        <v>753</v>
      </c>
    </row>
    <row r="24" customFormat="false" ht="15" hidden="false" customHeight="false" outlineLevel="0" collapsed="false">
      <c r="A24" s="5" t="s">
        <v>815</v>
      </c>
      <c r="B24" s="5" t="s">
        <v>816</v>
      </c>
      <c r="C24" s="5" t="s">
        <v>814</v>
      </c>
      <c r="D24" s="5" t="n">
        <v>1</v>
      </c>
      <c r="E24" s="5" t="n">
        <v>15</v>
      </c>
      <c r="F24" s="5" t="n">
        <v>42.5</v>
      </c>
      <c r="G24" s="5" t="n">
        <v>57</v>
      </c>
      <c r="H24" s="5" t="n">
        <v>114</v>
      </c>
      <c r="I24" s="5" t="n">
        <v>146</v>
      </c>
      <c r="J24" s="5" t="s">
        <v>761</v>
      </c>
      <c r="K24" s="5" t="s">
        <v>753</v>
      </c>
    </row>
    <row r="25" customFormat="false" ht="15" hidden="false" customHeight="false" outlineLevel="0" collapsed="false">
      <c r="A25" s="5" t="s">
        <v>817</v>
      </c>
      <c r="B25" s="5" t="s">
        <v>818</v>
      </c>
      <c r="C25" s="5" t="s">
        <v>788</v>
      </c>
      <c r="D25" s="5" t="n">
        <v>1</v>
      </c>
      <c r="E25" s="5" t="n">
        <v>15</v>
      </c>
      <c r="F25" s="5" t="n">
        <v>42</v>
      </c>
      <c r="G25" s="5" t="n">
        <v>54</v>
      </c>
      <c r="H25" s="5" t="n">
        <v>116</v>
      </c>
      <c r="I25" s="5" t="n">
        <v>135</v>
      </c>
      <c r="J25" s="5" t="s">
        <v>819</v>
      </c>
      <c r="K25" s="5" t="s">
        <v>745</v>
      </c>
    </row>
    <row r="26" customFormat="false" ht="15" hidden="false" customHeight="false" outlineLevel="0" collapsed="false">
      <c r="A26" s="5" t="s">
        <v>820</v>
      </c>
      <c r="B26" s="5" t="s">
        <v>821</v>
      </c>
      <c r="C26" s="5" t="s">
        <v>822</v>
      </c>
      <c r="D26" s="5" t="n">
        <v>2</v>
      </c>
      <c r="E26" s="5" t="n">
        <v>20</v>
      </c>
      <c r="F26" s="5" t="n">
        <v>45</v>
      </c>
      <c r="G26" s="5" t="n">
        <v>54</v>
      </c>
      <c r="H26" s="5" t="n">
        <v>108</v>
      </c>
      <c r="I26" s="5" t="n">
        <v>135</v>
      </c>
      <c r="J26" s="5" t="s">
        <v>823</v>
      </c>
      <c r="K26" s="5" t="s">
        <v>745</v>
      </c>
    </row>
    <row r="27" customFormat="false" ht="15" hidden="false" customHeight="false" outlineLevel="0" collapsed="false">
      <c r="A27" s="5" t="s">
        <v>824</v>
      </c>
      <c r="B27" s="5" t="s">
        <v>825</v>
      </c>
      <c r="C27" s="5" t="s">
        <v>826</v>
      </c>
      <c r="D27" s="5" t="n">
        <v>1</v>
      </c>
      <c r="E27" s="5" t="n">
        <v>18</v>
      </c>
      <c r="F27" s="5" t="n">
        <v>47</v>
      </c>
      <c r="G27" s="5" t="n">
        <v>57</v>
      </c>
      <c r="H27" s="5" t="n">
        <v>106</v>
      </c>
      <c r="I27" s="5" t="n">
        <v>151</v>
      </c>
      <c r="J27" s="5" t="s">
        <v>819</v>
      </c>
      <c r="K27" s="5" t="s">
        <v>753</v>
      </c>
    </row>
    <row r="28" customFormat="false" ht="23.85" hidden="false" customHeight="false" outlineLevel="0" collapsed="false">
      <c r="A28" s="5" t="s">
        <v>827</v>
      </c>
      <c r="B28" s="5" t="s">
        <v>828</v>
      </c>
      <c r="C28" s="5" t="s">
        <v>829</v>
      </c>
      <c r="D28" s="5" t="n">
        <v>2</v>
      </c>
      <c r="E28" s="5" t="n">
        <v>20</v>
      </c>
      <c r="F28" s="5" t="n">
        <v>44</v>
      </c>
      <c r="G28" s="5" t="n">
        <v>57</v>
      </c>
      <c r="H28" s="5" t="n">
        <v>110</v>
      </c>
      <c r="I28" s="5" t="n">
        <v>146</v>
      </c>
      <c r="J28" s="5" t="s">
        <v>830</v>
      </c>
      <c r="K28" s="5" t="s">
        <v>753</v>
      </c>
    </row>
    <row r="29" customFormat="false" ht="15" hidden="false" customHeight="false" outlineLevel="0" collapsed="false">
      <c r="A29" s="5" t="s">
        <v>831</v>
      </c>
      <c r="B29" s="5" t="s">
        <v>832</v>
      </c>
      <c r="C29" s="5" t="s">
        <v>814</v>
      </c>
      <c r="D29" s="5" t="n">
        <v>1</v>
      </c>
      <c r="E29" s="5" t="n">
        <v>15</v>
      </c>
      <c r="F29" s="5" t="n">
        <v>43</v>
      </c>
      <c r="G29" s="5" t="n">
        <v>57</v>
      </c>
      <c r="H29" s="5" t="n">
        <v>114</v>
      </c>
      <c r="I29" s="5" t="n">
        <v>146</v>
      </c>
      <c r="J29" s="5" t="s">
        <v>144</v>
      </c>
      <c r="K29" s="5" t="s">
        <v>753</v>
      </c>
    </row>
    <row r="30" customFormat="false" ht="15" hidden="false" customHeight="false" outlineLevel="0" collapsed="false">
      <c r="A30" s="5" t="s">
        <v>833</v>
      </c>
      <c r="B30" s="5" t="s">
        <v>834</v>
      </c>
      <c r="C30" s="5" t="s">
        <v>748</v>
      </c>
      <c r="D30" s="5" t="n">
        <v>2</v>
      </c>
      <c r="E30" s="5" t="n">
        <v>17</v>
      </c>
      <c r="F30" s="5" t="n">
        <v>34</v>
      </c>
      <c r="G30" s="5" t="n">
        <v>49</v>
      </c>
      <c r="H30" s="5" t="n">
        <v>138</v>
      </c>
      <c r="I30" s="5" t="n">
        <v>113</v>
      </c>
      <c r="J30" s="5" t="s">
        <v>144</v>
      </c>
      <c r="K30" s="5" t="s">
        <v>753</v>
      </c>
    </row>
    <row r="31" customFormat="false" ht="15" hidden="false" customHeight="false" outlineLevel="0" collapsed="false">
      <c r="A31" s="5" t="s">
        <v>835</v>
      </c>
      <c r="B31" s="5" t="s">
        <v>836</v>
      </c>
      <c r="C31" s="5" t="s">
        <v>788</v>
      </c>
      <c r="D31" s="5" t="n">
        <v>1</v>
      </c>
      <c r="E31" s="5" t="n">
        <v>15</v>
      </c>
      <c r="F31" s="5" t="n">
        <v>41</v>
      </c>
      <c r="G31" s="5" t="n">
        <v>54</v>
      </c>
      <c r="H31" s="5" t="n">
        <v>118</v>
      </c>
      <c r="I31" s="5" t="n">
        <v>135</v>
      </c>
      <c r="J31" s="5" t="s">
        <v>144</v>
      </c>
      <c r="K31" s="5" t="s">
        <v>753</v>
      </c>
    </row>
    <row r="32" customFormat="false" ht="15" hidden="false" customHeight="false" outlineLevel="0" collapsed="false">
      <c r="A32" s="5" t="s">
        <v>837</v>
      </c>
      <c r="B32" s="5" t="s">
        <v>838</v>
      </c>
      <c r="C32" s="5" t="s">
        <v>839</v>
      </c>
      <c r="D32" s="5" t="n">
        <v>1</v>
      </c>
      <c r="E32" s="5" t="n">
        <v>15</v>
      </c>
      <c r="F32" s="5" t="n">
        <v>42</v>
      </c>
      <c r="G32" s="5" t="n">
        <v>54</v>
      </c>
      <c r="H32" s="5" t="n">
        <v>114</v>
      </c>
      <c r="I32" s="5" t="n">
        <v>148</v>
      </c>
      <c r="J32" s="5" t="s">
        <v>840</v>
      </c>
      <c r="K32" s="5" t="s">
        <v>753</v>
      </c>
    </row>
    <row r="33" customFormat="false" ht="15" hidden="false" customHeight="false" outlineLevel="0" collapsed="false">
      <c r="A33" s="5" t="s">
        <v>841</v>
      </c>
      <c r="B33" s="5" t="s">
        <v>842</v>
      </c>
      <c r="C33" s="5" t="s">
        <v>843</v>
      </c>
      <c r="D33" s="5" t="n">
        <v>1</v>
      </c>
      <c r="E33" s="5" t="n">
        <v>12.7</v>
      </c>
      <c r="F33" s="5" t="n">
        <v>29</v>
      </c>
      <c r="G33" s="5" t="n">
        <v>51</v>
      </c>
      <c r="H33" s="5" t="n">
        <v>148</v>
      </c>
      <c r="I33" s="5" t="n">
        <v>157</v>
      </c>
      <c r="J33" s="5" t="s">
        <v>144</v>
      </c>
      <c r="K33" s="5" t="s">
        <v>753</v>
      </c>
    </row>
    <row r="34" customFormat="false" ht="15" hidden="false" customHeight="false" outlineLevel="0" collapsed="false">
      <c r="A34" s="5" t="s">
        <v>844</v>
      </c>
      <c r="B34" s="5" t="s">
        <v>845</v>
      </c>
      <c r="C34" s="5" t="s">
        <v>781</v>
      </c>
      <c r="D34" s="5" t="n">
        <v>2</v>
      </c>
      <c r="E34" s="5" t="n">
        <v>16.67</v>
      </c>
      <c r="F34" s="5" t="n">
        <v>30</v>
      </c>
      <c r="G34" s="5" t="n">
        <v>46</v>
      </c>
      <c r="H34" s="5" t="n">
        <v>138</v>
      </c>
      <c r="I34" s="5" t="n">
        <v>116</v>
      </c>
      <c r="J34" s="5" t="s">
        <v>744</v>
      </c>
      <c r="K34" s="5" t="s">
        <v>753</v>
      </c>
    </row>
    <row r="35" customFormat="false" ht="15" hidden="false" customHeight="false" outlineLevel="0" collapsed="false">
      <c r="A35" s="5" t="s">
        <v>846</v>
      </c>
      <c r="B35" s="5" t="s">
        <v>847</v>
      </c>
      <c r="C35" s="5" t="s">
        <v>848</v>
      </c>
      <c r="D35" s="5" t="n">
        <v>1</v>
      </c>
      <c r="E35" s="5" t="n">
        <v>17.7</v>
      </c>
      <c r="F35" s="5" t="n">
        <v>44</v>
      </c>
      <c r="G35" s="5" t="n">
        <v>51</v>
      </c>
      <c r="H35" s="5" t="n">
        <v>108</v>
      </c>
      <c r="I35" s="5" t="n">
        <v>119</v>
      </c>
      <c r="J35" s="5" t="s">
        <v>144</v>
      </c>
      <c r="K35" s="5" t="s">
        <v>753</v>
      </c>
    </row>
    <row r="37" customFormat="false" ht="15" hidden="false" customHeight="false" outlineLevel="0" collapsed="false">
      <c r="A37" s="12" t="s">
        <v>849</v>
      </c>
    </row>
  </sheetData>
  <autoFilter ref="A1:K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3" min="13" style="0" width="7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20"/>
  </cols>
  <sheetData>
    <row r="1" customFormat="false" ht="35.05" hidden="false" customHeight="false" outlineLevel="0" collapsed="false">
      <c r="A1" s="4" t="s">
        <v>850</v>
      </c>
      <c r="B1" s="4" t="s">
        <v>26</v>
      </c>
      <c r="C1" s="4" t="s">
        <v>851</v>
      </c>
      <c r="D1" s="4" t="s">
        <v>731</v>
      </c>
      <c r="E1" s="4" t="s">
        <v>852</v>
      </c>
      <c r="F1" s="4" t="s">
        <v>733</v>
      </c>
      <c r="G1" s="4" t="s">
        <v>853</v>
      </c>
      <c r="H1" s="4" t="s">
        <v>854</v>
      </c>
      <c r="I1" s="4" t="s">
        <v>855</v>
      </c>
      <c r="J1" s="4" t="s">
        <v>735</v>
      </c>
      <c r="K1" s="4" t="s">
        <v>856</v>
      </c>
      <c r="L1" s="4" t="s">
        <v>857</v>
      </c>
      <c r="M1" s="4" t="s">
        <v>858</v>
      </c>
      <c r="N1" s="4" t="s">
        <v>859</v>
      </c>
      <c r="O1" s="4" t="s">
        <v>860</v>
      </c>
      <c r="P1" s="4" t="s">
        <v>861</v>
      </c>
    </row>
    <row r="2" customFormat="false" ht="23.85" hidden="false" customHeight="false" outlineLevel="0" collapsed="false">
      <c r="A2" s="5" t="s">
        <v>60</v>
      </c>
      <c r="B2" s="5" t="s">
        <v>61</v>
      </c>
      <c r="C2" s="5" t="s">
        <v>780</v>
      </c>
      <c r="D2" s="5" t="s">
        <v>779</v>
      </c>
      <c r="E2" s="5" t="s">
        <v>862</v>
      </c>
      <c r="F2" s="5" t="n">
        <v>2</v>
      </c>
      <c r="G2" s="5" t="s">
        <v>863</v>
      </c>
      <c r="H2" s="5" t="s">
        <v>864</v>
      </c>
      <c r="I2" s="5" t="s">
        <v>865</v>
      </c>
      <c r="J2" s="5" t="n">
        <f aca="false">IFERROR(INDEX('Glider Types'!$F:$F,MATCH(D2,'Glider Types'!$A:$A,0)),"")</f>
        <v>34</v>
      </c>
      <c r="K2" s="5" t="n">
        <f aca="false">IFERROR(INDEX('Glider Types'!$G:$G,MATCH(D2,'Glider Types'!$A:$A,0)),"")</f>
        <v>49</v>
      </c>
      <c r="L2" s="5" t="n">
        <f aca="false">IFERROR(INDEX('Glider Types'!$H:$H,MATCH(D2,'Glider Types'!$A:$A,0)),"")</f>
        <v>128</v>
      </c>
      <c r="M2" s="5" t="n">
        <f aca="false">IFERROR(INDEX('Glider Types'!$I:$I,MATCH(D2,'Glider Types'!$A:$A,0)),"")</f>
        <v>151</v>
      </c>
      <c r="N2" s="13"/>
      <c r="O2" s="13"/>
      <c r="P2" s="13"/>
    </row>
    <row r="3" customFormat="false" ht="23.85" hidden="false" customHeight="false" outlineLevel="0" collapsed="false">
      <c r="A3" s="5" t="s">
        <v>60</v>
      </c>
      <c r="B3" s="5" t="s">
        <v>61</v>
      </c>
      <c r="C3" s="5" t="s">
        <v>780</v>
      </c>
      <c r="D3" s="5" t="s">
        <v>779</v>
      </c>
      <c r="E3" s="5" t="s">
        <v>866</v>
      </c>
      <c r="F3" s="5" t="n">
        <v>2</v>
      </c>
      <c r="G3" s="5" t="s">
        <v>863</v>
      </c>
      <c r="H3" s="5" t="s">
        <v>864</v>
      </c>
      <c r="I3" s="5" t="s">
        <v>865</v>
      </c>
      <c r="J3" s="5" t="n">
        <f aca="false">IFERROR(INDEX('Glider Types'!$F:$F,MATCH(D3,'Glider Types'!$A:$A,0)),"")</f>
        <v>34</v>
      </c>
      <c r="K3" s="5" t="n">
        <f aca="false">IFERROR(INDEX('Glider Types'!$G:$G,MATCH(D3,'Glider Types'!$A:$A,0)),"")</f>
        <v>49</v>
      </c>
      <c r="L3" s="5" t="n">
        <f aca="false">IFERROR(INDEX('Glider Types'!$H:$H,MATCH(D3,'Glider Types'!$A:$A,0)),"")</f>
        <v>128</v>
      </c>
      <c r="M3" s="5" t="n">
        <f aca="false">IFERROR(INDEX('Glider Types'!$I:$I,MATCH(D3,'Glider Types'!$A:$A,0)),"")</f>
        <v>151</v>
      </c>
      <c r="N3" s="13"/>
      <c r="O3" s="13"/>
      <c r="P3" s="13"/>
    </row>
    <row r="4" customFormat="false" ht="23.85" hidden="false" customHeight="false" outlineLevel="0" collapsed="false">
      <c r="A4" s="5" t="s">
        <v>60</v>
      </c>
      <c r="B4" s="5" t="s">
        <v>61</v>
      </c>
      <c r="C4" s="5" t="s">
        <v>867</v>
      </c>
      <c r="D4" s="5" t="s">
        <v>741</v>
      </c>
      <c r="E4" s="5" t="s">
        <v>868</v>
      </c>
      <c r="F4" s="5" t="n">
        <v>2</v>
      </c>
      <c r="G4" s="5" t="s">
        <v>869</v>
      </c>
      <c r="H4" s="5" t="s">
        <v>864</v>
      </c>
      <c r="I4" s="5" t="s">
        <v>744</v>
      </c>
      <c r="J4" s="5" t="n">
        <f aca="false">IFERROR(INDEX('Glider Types'!$F:$F,MATCH(D4,'Glider Types'!$A:$A,0)),"")</f>
        <v>23</v>
      </c>
      <c r="K4" s="5" t="n">
        <f aca="false">IFERROR(INDEX('Glider Types'!$G:$G,MATCH(D4,'Glider Types'!$A:$A,0)),"")</f>
        <v>39</v>
      </c>
      <c r="L4" s="5" t="n">
        <f aca="false">IFERROR(INDEX('Glider Types'!$H:$H,MATCH(D4,'Glider Types'!$A:$A,0)),"")</f>
        <v>185</v>
      </c>
      <c r="M4" s="5" t="n">
        <f aca="false">IFERROR(INDEX('Glider Types'!$I:$I,MATCH(D4,'Glider Types'!$A:$A,0)),"")</f>
        <v>85</v>
      </c>
      <c r="N4" s="13"/>
      <c r="O4" s="13"/>
      <c r="P4" s="13"/>
    </row>
    <row r="5" customFormat="false" ht="23.85" hidden="false" customHeight="false" outlineLevel="0" collapsed="false">
      <c r="A5" s="5" t="s">
        <v>60</v>
      </c>
      <c r="B5" s="5" t="s">
        <v>61</v>
      </c>
      <c r="C5" s="5" t="s">
        <v>773</v>
      </c>
      <c r="D5" s="5" t="s">
        <v>772</v>
      </c>
      <c r="E5" s="5" t="s">
        <v>870</v>
      </c>
      <c r="F5" s="5" t="n">
        <v>2</v>
      </c>
      <c r="G5" s="5" t="s">
        <v>869</v>
      </c>
      <c r="H5" s="5" t="s">
        <v>864</v>
      </c>
      <c r="I5" s="5" t="s">
        <v>871</v>
      </c>
      <c r="J5" s="5" t="n">
        <f aca="false">IFERROR(INDEX('Glider Types'!$F:$F,MATCH(D5,'Glider Types'!$A:$A,0)),"")</f>
        <v>28</v>
      </c>
      <c r="K5" s="5" t="n">
        <f aca="false">IFERROR(INDEX('Glider Types'!$G:$G,MATCH(D5,'Glider Types'!$A:$A,0)),"")</f>
        <v>49</v>
      </c>
      <c r="L5" s="5" t="n">
        <f aca="false">IFERROR(INDEX('Glider Types'!$H:$H,MATCH(D5,'Glider Types'!$A:$A,0)),"")</f>
        <v>148</v>
      </c>
      <c r="M5" s="5" t="n">
        <f aca="false">IFERROR(INDEX('Glider Types'!$I:$I,MATCH(D5,'Glider Types'!$A:$A,0)),"")</f>
        <v>135</v>
      </c>
      <c r="N5" s="13"/>
      <c r="O5" s="13"/>
      <c r="P5" s="13"/>
    </row>
    <row r="6" customFormat="false" ht="23.85" hidden="false" customHeight="false" outlineLevel="0" collapsed="false">
      <c r="A6" s="5" t="s">
        <v>60</v>
      </c>
      <c r="B6" s="5" t="s">
        <v>61</v>
      </c>
      <c r="C6" s="5" t="s">
        <v>787</v>
      </c>
      <c r="D6" s="5" t="s">
        <v>786</v>
      </c>
      <c r="E6" s="5" t="s">
        <v>870</v>
      </c>
      <c r="F6" s="5" t="n">
        <v>1</v>
      </c>
      <c r="G6" s="5" t="s">
        <v>872</v>
      </c>
      <c r="H6" s="5" t="s">
        <v>864</v>
      </c>
      <c r="I6" s="5" t="s">
        <v>789</v>
      </c>
      <c r="J6" s="5" t="n">
        <f aca="false">IFERROR(INDEX('Glider Types'!$F:$F,MATCH(D6,'Glider Types'!$A:$A,0)),"")</f>
        <v>38.5</v>
      </c>
      <c r="K6" s="5" t="n">
        <f aca="false">IFERROR(INDEX('Glider Types'!$G:$G,MATCH(D6,'Glider Types'!$A:$A,0)),"")</f>
        <v>54</v>
      </c>
      <c r="L6" s="5" t="n">
        <f aca="false">IFERROR(INDEX('Glider Types'!$H:$H,MATCH(D6,'Glider Types'!$A:$A,0)),"")</f>
        <v>118</v>
      </c>
      <c r="M6" s="5" t="n">
        <f aca="false">IFERROR(INDEX('Glider Types'!$I:$I,MATCH(D6,'Glider Types'!$A:$A,0)),"")</f>
        <v>138</v>
      </c>
      <c r="N6" s="13"/>
      <c r="O6" s="13"/>
      <c r="P6" s="13"/>
    </row>
    <row r="7" customFormat="false" ht="23.85" hidden="false" customHeight="false" outlineLevel="0" collapsed="false">
      <c r="A7" s="5" t="s">
        <v>60</v>
      </c>
      <c r="B7" s="5" t="s">
        <v>61</v>
      </c>
      <c r="C7" s="5" t="s">
        <v>777</v>
      </c>
      <c r="D7" s="5" t="s">
        <v>776</v>
      </c>
      <c r="E7" s="5" t="s">
        <v>870</v>
      </c>
      <c r="F7" s="5" t="n">
        <v>1</v>
      </c>
      <c r="G7" s="5" t="s">
        <v>873</v>
      </c>
      <c r="H7" s="5" t="s">
        <v>864</v>
      </c>
      <c r="I7" s="5" t="s">
        <v>874</v>
      </c>
      <c r="J7" s="5" t="n">
        <f aca="false">IFERROR(INDEX('Glider Types'!$F:$F,MATCH(D7,'Glider Types'!$A:$A,0)),"")</f>
        <v>34</v>
      </c>
      <c r="K7" s="5" t="n">
        <f aca="false">IFERROR(INDEX('Glider Types'!$G:$G,MATCH(D7,'Glider Types'!$A:$A,0)),"")</f>
        <v>46</v>
      </c>
      <c r="L7" s="5" t="n">
        <f aca="false">IFERROR(INDEX('Glider Types'!$H:$H,MATCH(D7,'Glider Types'!$A:$A,0)),"")</f>
        <v>130</v>
      </c>
      <c r="M7" s="5" t="n">
        <f aca="false">IFERROR(INDEX('Glider Types'!$I:$I,MATCH(D7,'Glider Types'!$A:$A,0)),"")</f>
        <v>135</v>
      </c>
      <c r="N7" s="13"/>
      <c r="O7" s="13"/>
      <c r="P7" s="13"/>
    </row>
    <row r="8" customFormat="false" ht="23.85" hidden="false" customHeight="false" outlineLevel="0" collapsed="false">
      <c r="A8" s="5" t="s">
        <v>60</v>
      </c>
      <c r="B8" s="5" t="s">
        <v>61</v>
      </c>
      <c r="C8" s="5" t="s">
        <v>875</v>
      </c>
      <c r="D8" s="5" t="s">
        <v>758</v>
      </c>
      <c r="E8" s="5" t="s">
        <v>876</v>
      </c>
      <c r="F8" s="5" t="n">
        <v>1</v>
      </c>
      <c r="G8" s="5" t="s">
        <v>877</v>
      </c>
      <c r="H8" s="5" t="s">
        <v>864</v>
      </c>
      <c r="I8" s="5" t="s">
        <v>878</v>
      </c>
      <c r="J8" s="5" t="n">
        <f aca="false">IFERROR(INDEX('Glider Types'!$F:$F,MATCH(D8,'Glider Types'!$A:$A,0)),"")</f>
        <v>34</v>
      </c>
      <c r="K8" s="5" t="n">
        <f aca="false">IFERROR(INDEX('Glider Types'!$G:$G,MATCH(D8,'Glider Types'!$A:$A,0)),"")</f>
        <v>46</v>
      </c>
      <c r="L8" s="5" t="n">
        <f aca="false">IFERROR(INDEX('Glider Types'!$H:$H,MATCH(D8,'Glider Types'!$A:$A,0)),"")</f>
        <v>132</v>
      </c>
      <c r="M8" s="5" t="n">
        <f aca="false">IFERROR(INDEX('Glider Types'!$I:$I,MATCH(D8,'Glider Types'!$A:$A,0)),"")</f>
        <v>114</v>
      </c>
      <c r="N8" s="13"/>
      <c r="O8" s="13"/>
      <c r="P8" s="13"/>
    </row>
    <row r="9" customFormat="false" ht="23.85" hidden="false" customHeight="false" outlineLevel="0" collapsed="false">
      <c r="A9" s="5" t="s">
        <v>60</v>
      </c>
      <c r="B9" s="5" t="s">
        <v>61</v>
      </c>
      <c r="C9" s="5" t="s">
        <v>879</v>
      </c>
      <c r="D9" s="5" t="s">
        <v>754</v>
      </c>
      <c r="E9" s="5" t="s">
        <v>880</v>
      </c>
      <c r="F9" s="5" t="n">
        <v>1</v>
      </c>
      <c r="G9" s="5" t="s">
        <v>877</v>
      </c>
      <c r="H9" s="5" t="s">
        <v>864</v>
      </c>
      <c r="I9" s="5" t="s">
        <v>796</v>
      </c>
      <c r="J9" s="5" t="n">
        <f aca="false">IFERROR(INDEX('Glider Types'!$F:$F,MATCH(D9,'Glider Types'!$A:$A,0)),"")</f>
        <v>23</v>
      </c>
      <c r="K9" s="5" t="n">
        <f aca="false">IFERROR(INDEX('Glider Types'!$G:$G,MATCH(D9,'Glider Types'!$A:$A,0)),"")</f>
        <v>46</v>
      </c>
      <c r="L9" s="5" t="n">
        <f aca="false">IFERROR(INDEX('Glider Types'!$H:$H,MATCH(D9,'Glider Types'!$A:$A,0)),"")</f>
        <v>161</v>
      </c>
      <c r="M9" s="5" t="n">
        <f aca="false">IFERROR(INDEX('Glider Types'!$I:$I,MATCH(D9,'Glider Types'!$A:$A,0)),"")</f>
        <v>99</v>
      </c>
      <c r="N9" s="13"/>
      <c r="O9" s="13"/>
      <c r="P9" s="13"/>
    </row>
    <row r="10" customFormat="false" ht="23.85" hidden="false" customHeight="false" outlineLevel="0" collapsed="false">
      <c r="A10" s="5" t="s">
        <v>44</v>
      </c>
      <c r="B10" s="5" t="s">
        <v>45</v>
      </c>
      <c r="C10" s="5" t="s">
        <v>791</v>
      </c>
      <c r="D10" s="5" t="s">
        <v>790</v>
      </c>
      <c r="E10" s="5" t="s">
        <v>881</v>
      </c>
      <c r="F10" s="5" t="n">
        <v>2</v>
      </c>
      <c r="G10" s="5" t="s">
        <v>882</v>
      </c>
      <c r="H10" s="5" t="s">
        <v>883</v>
      </c>
      <c r="I10" s="5" t="s">
        <v>884</v>
      </c>
      <c r="J10" s="5" t="n">
        <f aca="false">IFERROR(INDEX('Glider Types'!$F:$F,MATCH(D10,'Glider Types'!$A:$A,0)),"")</f>
        <v>34</v>
      </c>
      <c r="K10" s="5" t="n">
        <f aca="false">IFERROR(INDEX('Glider Types'!$G:$G,MATCH(D10,'Glider Types'!$A:$A,0)),"")</f>
        <v>51</v>
      </c>
      <c r="L10" s="5" t="n">
        <f aca="false">IFERROR(INDEX('Glider Types'!$H:$H,MATCH(D10,'Glider Types'!$A:$A,0)),"")</f>
        <v>146</v>
      </c>
      <c r="M10" s="5" t="n">
        <f aca="false">IFERROR(INDEX('Glider Types'!$I:$I,MATCH(D10,'Glider Types'!$A:$A,0)),"")</f>
        <v>140</v>
      </c>
      <c r="N10" s="13"/>
      <c r="O10" s="13"/>
      <c r="P10" s="13"/>
    </row>
    <row r="11" customFormat="false" ht="23.85" hidden="false" customHeight="false" outlineLevel="0" collapsed="false">
      <c r="A11" s="5" t="s">
        <v>44</v>
      </c>
      <c r="B11" s="5" t="s">
        <v>45</v>
      </c>
      <c r="C11" s="5" t="s">
        <v>791</v>
      </c>
      <c r="D11" s="5" t="s">
        <v>790</v>
      </c>
      <c r="E11" s="5" t="s">
        <v>885</v>
      </c>
      <c r="F11" s="5" t="n">
        <v>2</v>
      </c>
      <c r="G11" s="5" t="s">
        <v>882</v>
      </c>
      <c r="H11" s="5" t="s">
        <v>883</v>
      </c>
      <c r="I11" s="5" t="s">
        <v>884</v>
      </c>
      <c r="J11" s="5" t="n">
        <f aca="false">IFERROR(INDEX('Glider Types'!$F:$F,MATCH(D11,'Glider Types'!$A:$A,0)),"")</f>
        <v>34</v>
      </c>
      <c r="K11" s="5" t="n">
        <f aca="false">IFERROR(INDEX('Glider Types'!$G:$G,MATCH(D11,'Glider Types'!$A:$A,0)),"")</f>
        <v>51</v>
      </c>
      <c r="L11" s="5" t="n">
        <f aca="false">IFERROR(INDEX('Glider Types'!$H:$H,MATCH(D11,'Glider Types'!$A:$A,0)),"")</f>
        <v>146</v>
      </c>
      <c r="M11" s="5" t="n">
        <f aca="false">IFERROR(INDEX('Glider Types'!$I:$I,MATCH(D11,'Glider Types'!$A:$A,0)),"")</f>
        <v>140</v>
      </c>
      <c r="N11" s="13"/>
      <c r="O11" s="13"/>
      <c r="P11" s="13"/>
    </row>
    <row r="12" customFormat="false" ht="23.85" hidden="false" customHeight="false" outlineLevel="0" collapsed="false">
      <c r="A12" s="5" t="s">
        <v>44</v>
      </c>
      <c r="B12" s="5" t="s">
        <v>45</v>
      </c>
      <c r="C12" s="5" t="s">
        <v>886</v>
      </c>
      <c r="D12" s="5" t="s">
        <v>741</v>
      </c>
      <c r="E12" s="5" t="s">
        <v>887</v>
      </c>
      <c r="F12" s="5" t="n">
        <v>2</v>
      </c>
      <c r="G12" s="5" t="s">
        <v>888</v>
      </c>
      <c r="H12" s="5" t="s">
        <v>883</v>
      </c>
      <c r="I12" s="5" t="s">
        <v>744</v>
      </c>
      <c r="J12" s="5" t="n">
        <f aca="false">IFERROR(INDEX('Glider Types'!$F:$F,MATCH(D12,'Glider Types'!$A:$A,0)),"")</f>
        <v>23</v>
      </c>
      <c r="K12" s="5" t="n">
        <f aca="false">IFERROR(INDEX('Glider Types'!$G:$G,MATCH(D12,'Glider Types'!$A:$A,0)),"")</f>
        <v>39</v>
      </c>
      <c r="L12" s="5" t="n">
        <f aca="false">IFERROR(INDEX('Glider Types'!$H:$H,MATCH(D12,'Glider Types'!$A:$A,0)),"")</f>
        <v>185</v>
      </c>
      <c r="M12" s="5" t="n">
        <f aca="false">IFERROR(INDEX('Glider Types'!$I:$I,MATCH(D12,'Glider Types'!$A:$A,0)),"")</f>
        <v>85</v>
      </c>
      <c r="N12" s="13"/>
      <c r="O12" s="13"/>
      <c r="P12" s="13"/>
    </row>
    <row r="13" customFormat="false" ht="23.85" hidden="false" customHeight="false" outlineLevel="0" collapsed="false">
      <c r="A13" s="5" t="s">
        <v>44</v>
      </c>
      <c r="B13" s="5" t="s">
        <v>45</v>
      </c>
      <c r="C13" s="5" t="s">
        <v>886</v>
      </c>
      <c r="D13" s="5" t="s">
        <v>741</v>
      </c>
      <c r="E13" s="5" t="s">
        <v>870</v>
      </c>
      <c r="F13" s="5" t="n">
        <v>2</v>
      </c>
      <c r="G13" s="5" t="s">
        <v>888</v>
      </c>
      <c r="H13" s="5" t="s">
        <v>883</v>
      </c>
      <c r="I13" s="5" t="s">
        <v>744</v>
      </c>
      <c r="J13" s="5" t="n">
        <f aca="false">IFERROR(INDEX('Glider Types'!$F:$F,MATCH(D13,'Glider Types'!$A:$A,0)),"")</f>
        <v>23</v>
      </c>
      <c r="K13" s="5" t="n">
        <f aca="false">IFERROR(INDEX('Glider Types'!$G:$G,MATCH(D13,'Glider Types'!$A:$A,0)),"")</f>
        <v>39</v>
      </c>
      <c r="L13" s="5" t="n">
        <f aca="false">IFERROR(INDEX('Glider Types'!$H:$H,MATCH(D13,'Glider Types'!$A:$A,0)),"")</f>
        <v>185</v>
      </c>
      <c r="M13" s="5" t="n">
        <f aca="false">IFERROR(INDEX('Glider Types'!$I:$I,MATCH(D13,'Glider Types'!$A:$A,0)),"")</f>
        <v>85</v>
      </c>
      <c r="N13" s="13"/>
      <c r="O13" s="13"/>
      <c r="P13" s="13"/>
    </row>
    <row r="14" customFormat="false" ht="23.85" hidden="false" customHeight="false" outlineLevel="0" collapsed="false">
      <c r="A14" s="5" t="s">
        <v>44</v>
      </c>
      <c r="B14" s="5" t="s">
        <v>45</v>
      </c>
      <c r="C14" s="5" t="s">
        <v>879</v>
      </c>
      <c r="D14" s="5" t="s">
        <v>754</v>
      </c>
      <c r="E14" s="5" t="s">
        <v>889</v>
      </c>
      <c r="F14" s="5" t="n">
        <v>1</v>
      </c>
      <c r="G14" s="5" t="s">
        <v>890</v>
      </c>
      <c r="H14" s="5" t="s">
        <v>883</v>
      </c>
      <c r="I14" s="5" t="s">
        <v>796</v>
      </c>
      <c r="J14" s="5" t="n">
        <f aca="false">IFERROR(INDEX('Glider Types'!$F:$F,MATCH(D14,'Glider Types'!$A:$A,0)),"")</f>
        <v>23</v>
      </c>
      <c r="K14" s="5" t="n">
        <f aca="false">IFERROR(INDEX('Glider Types'!$G:$G,MATCH(D14,'Glider Types'!$A:$A,0)),"")</f>
        <v>46</v>
      </c>
      <c r="L14" s="5" t="n">
        <f aca="false">IFERROR(INDEX('Glider Types'!$H:$H,MATCH(D14,'Glider Types'!$A:$A,0)),"")</f>
        <v>161</v>
      </c>
      <c r="M14" s="5" t="n">
        <f aca="false">IFERROR(INDEX('Glider Types'!$I:$I,MATCH(D14,'Glider Types'!$A:$A,0)),"")</f>
        <v>99</v>
      </c>
      <c r="N14" s="13"/>
      <c r="O14" s="13"/>
      <c r="P14" s="13"/>
    </row>
    <row r="15" customFormat="false" ht="15" hidden="false" customHeight="false" outlineLevel="0" collapsed="false">
      <c r="A15" s="5" t="s">
        <v>74</v>
      </c>
      <c r="B15" s="5" t="s">
        <v>75</v>
      </c>
      <c r="C15" s="5" t="s">
        <v>775</v>
      </c>
      <c r="D15" s="5" t="s">
        <v>774</v>
      </c>
      <c r="E15" s="5" t="s">
        <v>891</v>
      </c>
      <c r="F15" s="5" t="n">
        <v>2</v>
      </c>
      <c r="G15" s="5"/>
      <c r="H15" s="5" t="s">
        <v>864</v>
      </c>
      <c r="I15" s="5" t="s">
        <v>744</v>
      </c>
      <c r="J15" s="5" t="n">
        <f aca="false">IFERROR(INDEX('Glider Types'!$F:$F,MATCH(D15,'Glider Types'!$A:$A,0)),"")</f>
        <v>28</v>
      </c>
      <c r="K15" s="5" t="n">
        <f aca="false">IFERROR(INDEX('Glider Types'!$G:$G,MATCH(D15,'Glider Types'!$A:$A,0)),"")</f>
        <v>46</v>
      </c>
      <c r="L15" s="5" t="n">
        <f aca="false">IFERROR(INDEX('Glider Types'!$H:$H,MATCH(D15,'Glider Types'!$A:$A,0)),"")</f>
        <v>161</v>
      </c>
      <c r="M15" s="5" t="n">
        <f aca="false">IFERROR(INDEX('Glider Types'!$I:$I,MATCH(D15,'Glider Types'!$A:$A,0)),"")</f>
        <v>137</v>
      </c>
      <c r="N15" s="13"/>
      <c r="O15" s="13"/>
      <c r="P15" s="13"/>
    </row>
    <row r="16" customFormat="false" ht="15" hidden="false" customHeight="false" outlineLevel="0" collapsed="false">
      <c r="A16" s="5" t="s">
        <v>74</v>
      </c>
      <c r="B16" s="5" t="s">
        <v>75</v>
      </c>
      <c r="C16" s="5" t="s">
        <v>867</v>
      </c>
      <c r="D16" s="5" t="s">
        <v>741</v>
      </c>
      <c r="E16" s="5" t="s">
        <v>892</v>
      </c>
      <c r="F16" s="5" t="n">
        <v>2</v>
      </c>
      <c r="G16" s="5"/>
      <c r="H16" s="5" t="s">
        <v>864</v>
      </c>
      <c r="I16" s="5" t="s">
        <v>744</v>
      </c>
      <c r="J16" s="5" t="n">
        <f aca="false">IFERROR(INDEX('Glider Types'!$F:$F,MATCH(D16,'Glider Types'!$A:$A,0)),"")</f>
        <v>23</v>
      </c>
      <c r="K16" s="5" t="n">
        <f aca="false">IFERROR(INDEX('Glider Types'!$G:$G,MATCH(D16,'Glider Types'!$A:$A,0)),"")</f>
        <v>39</v>
      </c>
      <c r="L16" s="5" t="n">
        <f aca="false">IFERROR(INDEX('Glider Types'!$H:$H,MATCH(D16,'Glider Types'!$A:$A,0)),"")</f>
        <v>185</v>
      </c>
      <c r="M16" s="5" t="n">
        <f aca="false">IFERROR(INDEX('Glider Types'!$I:$I,MATCH(D16,'Glider Types'!$A:$A,0)),"")</f>
        <v>85</v>
      </c>
      <c r="N16" s="13"/>
      <c r="O16" s="13"/>
      <c r="P16" s="13"/>
    </row>
    <row r="17" customFormat="false" ht="15" hidden="false" customHeight="false" outlineLevel="0" collapsed="false">
      <c r="A17" s="5" t="s">
        <v>74</v>
      </c>
      <c r="B17" s="5" t="s">
        <v>75</v>
      </c>
      <c r="C17" s="5" t="s">
        <v>867</v>
      </c>
      <c r="D17" s="5" t="s">
        <v>741</v>
      </c>
      <c r="E17" s="5" t="s">
        <v>893</v>
      </c>
      <c r="F17" s="5" t="n">
        <v>2</v>
      </c>
      <c r="G17" s="5"/>
      <c r="H17" s="5" t="s">
        <v>864</v>
      </c>
      <c r="I17" s="5" t="s">
        <v>744</v>
      </c>
      <c r="J17" s="5" t="n">
        <f aca="false">IFERROR(INDEX('Glider Types'!$F:$F,MATCH(D17,'Glider Types'!$A:$A,0)),"")</f>
        <v>23</v>
      </c>
      <c r="K17" s="5" t="n">
        <f aca="false">IFERROR(INDEX('Glider Types'!$G:$G,MATCH(D17,'Glider Types'!$A:$A,0)),"")</f>
        <v>39</v>
      </c>
      <c r="L17" s="5" t="n">
        <f aca="false">IFERROR(INDEX('Glider Types'!$H:$H,MATCH(D17,'Glider Types'!$A:$A,0)),"")</f>
        <v>185</v>
      </c>
      <c r="M17" s="5" t="n">
        <f aca="false">IFERROR(INDEX('Glider Types'!$I:$I,MATCH(D17,'Glider Types'!$A:$A,0)),"")</f>
        <v>85</v>
      </c>
      <c r="N17" s="13"/>
      <c r="O17" s="13"/>
      <c r="P17" s="13"/>
    </row>
    <row r="18" customFormat="false" ht="15" hidden="false" customHeight="false" outlineLevel="0" collapsed="false">
      <c r="A18" s="5" t="s">
        <v>74</v>
      </c>
      <c r="B18" s="5" t="s">
        <v>75</v>
      </c>
      <c r="C18" s="5" t="s">
        <v>894</v>
      </c>
      <c r="D18" s="5" t="s">
        <v>749</v>
      </c>
      <c r="E18" s="5" t="s">
        <v>895</v>
      </c>
      <c r="F18" s="5" t="n">
        <v>2</v>
      </c>
      <c r="G18" s="5"/>
      <c r="H18" s="5" t="s">
        <v>864</v>
      </c>
      <c r="I18" s="5" t="s">
        <v>896</v>
      </c>
      <c r="J18" s="5" t="n">
        <f aca="false">IFERROR(INDEX('Glider Types'!$F:$F,MATCH(D18,'Glider Types'!$A:$A,0)),"")</f>
        <v>17</v>
      </c>
      <c r="K18" s="5" t="n">
        <f aca="false">IFERROR(INDEX('Glider Types'!$G:$G,MATCH(D18,'Glider Types'!$A:$A,0)),"")</f>
        <v>42</v>
      </c>
      <c r="L18" s="5" t="n">
        <f aca="false">IFERROR(INDEX('Glider Types'!$H:$H,MATCH(D18,'Glider Types'!$A:$A,0)),"")</f>
        <v>197</v>
      </c>
      <c r="M18" s="5" t="n">
        <f aca="false">IFERROR(INDEX('Glider Types'!$I:$I,MATCH(D18,'Glider Types'!$A:$A,0)),"")</f>
        <v>63</v>
      </c>
      <c r="N18" s="13"/>
      <c r="O18" s="13"/>
      <c r="P18" s="13"/>
    </row>
    <row r="19" customFormat="false" ht="15" hidden="false" customHeight="false" outlineLevel="0" collapsed="false">
      <c r="A19" s="5" t="s">
        <v>74</v>
      </c>
      <c r="B19" s="5" t="s">
        <v>75</v>
      </c>
      <c r="C19" s="5" t="s">
        <v>879</v>
      </c>
      <c r="D19" s="5" t="s">
        <v>754</v>
      </c>
      <c r="E19" s="5" t="s">
        <v>897</v>
      </c>
      <c r="F19" s="5" t="n">
        <v>1</v>
      </c>
      <c r="G19" s="5"/>
      <c r="H19" s="5" t="s">
        <v>864</v>
      </c>
      <c r="I19" s="5" t="s">
        <v>796</v>
      </c>
      <c r="J19" s="5" t="n">
        <f aca="false">IFERROR(INDEX('Glider Types'!$F:$F,MATCH(D19,'Glider Types'!$A:$A,0)),"")</f>
        <v>23</v>
      </c>
      <c r="K19" s="5" t="n">
        <f aca="false">IFERROR(INDEX('Glider Types'!$G:$G,MATCH(D19,'Glider Types'!$A:$A,0)),"")</f>
        <v>46</v>
      </c>
      <c r="L19" s="5" t="n">
        <f aca="false">IFERROR(INDEX('Glider Types'!$H:$H,MATCH(D19,'Glider Types'!$A:$A,0)),"")</f>
        <v>161</v>
      </c>
      <c r="M19" s="5" t="n">
        <f aca="false">IFERROR(INDEX('Glider Types'!$I:$I,MATCH(D19,'Glider Types'!$A:$A,0)),"")</f>
        <v>99</v>
      </c>
      <c r="N19" s="13"/>
      <c r="O19" s="13"/>
      <c r="P19" s="13"/>
    </row>
    <row r="20" customFormat="false" ht="15" hidden="false" customHeight="false" outlineLevel="0" collapsed="false">
      <c r="A20" s="5" t="s">
        <v>74</v>
      </c>
      <c r="B20" s="5" t="s">
        <v>75</v>
      </c>
      <c r="C20" s="5" t="s">
        <v>898</v>
      </c>
      <c r="D20" s="5" t="s">
        <v>769</v>
      </c>
      <c r="E20" s="5" t="s">
        <v>899</v>
      </c>
      <c r="F20" s="5" t="n">
        <v>1</v>
      </c>
      <c r="G20" s="5"/>
      <c r="H20" s="5" t="s">
        <v>864</v>
      </c>
      <c r="I20" s="5" t="s">
        <v>896</v>
      </c>
      <c r="J20" s="5" t="n">
        <f aca="false">IFERROR(INDEX('Glider Types'!$F:$F,MATCH(D20,'Glider Types'!$A:$A,0)),"")</f>
        <v>29</v>
      </c>
      <c r="K20" s="5" t="n">
        <f aca="false">IFERROR(INDEX('Glider Types'!$G:$G,MATCH(D20,'Glider Types'!$A:$A,0)),"")</f>
        <v>43</v>
      </c>
      <c r="L20" s="5" t="n">
        <f aca="false">IFERROR(INDEX('Glider Types'!$H:$H,MATCH(D20,'Glider Types'!$A:$A,0)),"")</f>
        <v>138</v>
      </c>
      <c r="M20" s="5" t="n">
        <f aca="false">IFERROR(INDEX('Glider Types'!$I:$I,MATCH(D20,'Glider Types'!$A:$A,0)),"")</f>
        <v>121</v>
      </c>
      <c r="N20" s="13"/>
      <c r="O20" s="13"/>
      <c r="P20" s="13"/>
    </row>
    <row r="21" customFormat="false" ht="15" hidden="false" customHeight="false" outlineLevel="0" collapsed="false">
      <c r="A21" s="5" t="s">
        <v>86</v>
      </c>
      <c r="B21" s="5" t="s">
        <v>87</v>
      </c>
      <c r="C21" s="5" t="s">
        <v>867</v>
      </c>
      <c r="D21" s="5" t="s">
        <v>741</v>
      </c>
      <c r="E21" s="5" t="s">
        <v>900</v>
      </c>
      <c r="F21" s="5" t="n">
        <v>2</v>
      </c>
      <c r="G21" s="5" t="s">
        <v>901</v>
      </c>
      <c r="H21" s="5" t="s">
        <v>864</v>
      </c>
      <c r="I21" s="5" t="s">
        <v>744</v>
      </c>
      <c r="J21" s="5" t="n">
        <f aca="false">IFERROR(INDEX('Glider Types'!$F:$F,MATCH(D21,'Glider Types'!$A:$A,0)),"")</f>
        <v>23</v>
      </c>
      <c r="K21" s="5" t="n">
        <f aca="false">IFERROR(INDEX('Glider Types'!$G:$G,MATCH(D21,'Glider Types'!$A:$A,0)),"")</f>
        <v>39</v>
      </c>
      <c r="L21" s="5" t="n">
        <f aca="false">IFERROR(INDEX('Glider Types'!$H:$H,MATCH(D21,'Glider Types'!$A:$A,0)),"")</f>
        <v>185</v>
      </c>
      <c r="M21" s="5" t="n">
        <f aca="false">IFERROR(INDEX('Glider Types'!$I:$I,MATCH(D21,'Glider Types'!$A:$A,0)),"")</f>
        <v>85</v>
      </c>
      <c r="N21" s="13"/>
      <c r="O21" s="13"/>
      <c r="P21" s="13"/>
    </row>
    <row r="22" customFormat="false" ht="15" hidden="false" customHeight="false" outlineLevel="0" collapsed="false">
      <c r="A22" s="5" t="s">
        <v>86</v>
      </c>
      <c r="B22" s="5" t="s">
        <v>87</v>
      </c>
      <c r="C22" s="5" t="s">
        <v>773</v>
      </c>
      <c r="D22" s="5" t="s">
        <v>772</v>
      </c>
      <c r="E22" s="5" t="s">
        <v>902</v>
      </c>
      <c r="F22" s="5" t="n">
        <v>2</v>
      </c>
      <c r="G22" s="5" t="s">
        <v>901</v>
      </c>
      <c r="H22" s="5" t="s">
        <v>864</v>
      </c>
      <c r="I22" s="5" t="s">
        <v>744</v>
      </c>
      <c r="J22" s="5" t="n">
        <f aca="false">IFERROR(INDEX('Glider Types'!$F:$F,MATCH(D22,'Glider Types'!$A:$A,0)),"")</f>
        <v>28</v>
      </c>
      <c r="K22" s="5" t="n">
        <f aca="false">IFERROR(INDEX('Glider Types'!$G:$G,MATCH(D22,'Glider Types'!$A:$A,0)),"")</f>
        <v>49</v>
      </c>
      <c r="L22" s="5" t="n">
        <f aca="false">IFERROR(INDEX('Glider Types'!$H:$H,MATCH(D22,'Glider Types'!$A:$A,0)),"")</f>
        <v>148</v>
      </c>
      <c r="M22" s="5" t="n">
        <f aca="false">IFERROR(INDEX('Glider Types'!$I:$I,MATCH(D22,'Glider Types'!$A:$A,0)),"")</f>
        <v>135</v>
      </c>
      <c r="N22" s="13"/>
      <c r="O22" s="13"/>
      <c r="P22" s="13"/>
    </row>
    <row r="23" customFormat="false" ht="15" hidden="false" customHeight="false" outlineLevel="0" collapsed="false">
      <c r="A23" s="5" t="s">
        <v>86</v>
      </c>
      <c r="B23" s="5" t="s">
        <v>87</v>
      </c>
      <c r="C23" s="5" t="s">
        <v>879</v>
      </c>
      <c r="D23" s="5" t="s">
        <v>754</v>
      </c>
      <c r="E23" s="5" t="s">
        <v>903</v>
      </c>
      <c r="F23" s="5" t="n">
        <v>1</v>
      </c>
      <c r="G23" s="5" t="s">
        <v>901</v>
      </c>
      <c r="H23" s="5" t="s">
        <v>864</v>
      </c>
      <c r="I23" s="5" t="s">
        <v>796</v>
      </c>
      <c r="J23" s="5" t="n">
        <f aca="false">IFERROR(INDEX('Glider Types'!$F:$F,MATCH(D23,'Glider Types'!$A:$A,0)),"")</f>
        <v>23</v>
      </c>
      <c r="K23" s="5" t="n">
        <f aca="false">IFERROR(INDEX('Glider Types'!$G:$G,MATCH(D23,'Glider Types'!$A:$A,0)),"")</f>
        <v>46</v>
      </c>
      <c r="L23" s="5" t="n">
        <f aca="false">IFERROR(INDEX('Glider Types'!$H:$H,MATCH(D23,'Glider Types'!$A:$A,0)),"")</f>
        <v>161</v>
      </c>
      <c r="M23" s="5" t="n">
        <f aca="false">IFERROR(INDEX('Glider Types'!$I:$I,MATCH(D23,'Glider Types'!$A:$A,0)),"")</f>
        <v>99</v>
      </c>
      <c r="N23" s="13"/>
      <c r="O23" s="13"/>
      <c r="P23" s="13"/>
    </row>
    <row r="24" customFormat="false" ht="15" hidden="false" customHeight="false" outlineLevel="0" collapsed="false">
      <c r="A24" s="5" t="s">
        <v>86</v>
      </c>
      <c r="B24" s="5" t="s">
        <v>87</v>
      </c>
      <c r="C24" s="5" t="s">
        <v>904</v>
      </c>
      <c r="D24" s="5" t="s">
        <v>831</v>
      </c>
      <c r="E24" s="5" t="s">
        <v>905</v>
      </c>
      <c r="F24" s="5" t="n">
        <v>1</v>
      </c>
      <c r="G24" s="5" t="s">
        <v>901</v>
      </c>
      <c r="H24" s="5" t="s">
        <v>864</v>
      </c>
      <c r="I24" s="5" t="s">
        <v>906</v>
      </c>
      <c r="J24" s="5" t="n">
        <f aca="false">IFERROR(INDEX('Glider Types'!$F:$F,MATCH(D24,'Glider Types'!$A:$A,0)),"")</f>
        <v>43</v>
      </c>
      <c r="K24" s="5" t="n">
        <f aca="false">IFERROR(INDEX('Glider Types'!$G:$G,MATCH(D24,'Glider Types'!$A:$A,0)),"")</f>
        <v>57</v>
      </c>
      <c r="L24" s="5" t="n">
        <f aca="false">IFERROR(INDEX('Glider Types'!$H:$H,MATCH(D24,'Glider Types'!$A:$A,0)),"")</f>
        <v>114</v>
      </c>
      <c r="M24" s="5" t="n">
        <f aca="false">IFERROR(INDEX('Glider Types'!$I:$I,MATCH(D24,'Glider Types'!$A:$A,0)),"")</f>
        <v>146</v>
      </c>
      <c r="N24" s="13"/>
      <c r="O24" s="13"/>
      <c r="P24" s="13"/>
    </row>
    <row r="25" customFormat="false" ht="23.85" hidden="false" customHeight="false" outlineLevel="0" collapsed="false">
      <c r="A25" s="5" t="s">
        <v>96</v>
      </c>
      <c r="B25" s="5" t="s">
        <v>97</v>
      </c>
      <c r="C25" s="5" t="s">
        <v>886</v>
      </c>
      <c r="D25" s="5" t="s">
        <v>741</v>
      </c>
      <c r="E25" s="5" t="s">
        <v>907</v>
      </c>
      <c r="F25" s="5" t="n">
        <v>2</v>
      </c>
      <c r="G25" s="5" t="s">
        <v>908</v>
      </c>
      <c r="H25" s="5" t="s">
        <v>864</v>
      </c>
      <c r="I25" s="5"/>
      <c r="J25" s="5" t="n">
        <f aca="false">IFERROR(INDEX('Glider Types'!$F:$F,MATCH(D25,'Glider Types'!$A:$A,0)),"")</f>
        <v>23</v>
      </c>
      <c r="K25" s="5" t="n">
        <f aca="false">IFERROR(INDEX('Glider Types'!$G:$G,MATCH(D25,'Glider Types'!$A:$A,0)),"")</f>
        <v>39</v>
      </c>
      <c r="L25" s="5" t="n">
        <f aca="false">IFERROR(INDEX('Glider Types'!$H:$H,MATCH(D25,'Glider Types'!$A:$A,0)),"")</f>
        <v>185</v>
      </c>
      <c r="M25" s="5" t="n">
        <f aca="false">IFERROR(INDEX('Glider Types'!$I:$I,MATCH(D25,'Glider Types'!$A:$A,0)),"")</f>
        <v>85</v>
      </c>
      <c r="N25" s="13"/>
      <c r="O25" s="13"/>
      <c r="P25" s="13"/>
    </row>
    <row r="26" customFormat="false" ht="23.85" hidden="false" customHeight="false" outlineLevel="0" collapsed="false">
      <c r="A26" s="5" t="s">
        <v>96</v>
      </c>
      <c r="B26" s="5" t="s">
        <v>97</v>
      </c>
      <c r="C26" s="5" t="s">
        <v>867</v>
      </c>
      <c r="D26" s="5" t="s">
        <v>741</v>
      </c>
      <c r="E26" s="5" t="s">
        <v>909</v>
      </c>
      <c r="F26" s="5" t="n">
        <v>2</v>
      </c>
      <c r="G26" s="5" t="s">
        <v>908</v>
      </c>
      <c r="H26" s="5" t="s">
        <v>864</v>
      </c>
      <c r="I26" s="5"/>
      <c r="J26" s="5" t="n">
        <f aca="false">IFERROR(INDEX('Glider Types'!$F:$F,MATCH(D26,'Glider Types'!$A:$A,0)),"")</f>
        <v>23</v>
      </c>
      <c r="K26" s="5" t="n">
        <f aca="false">IFERROR(INDEX('Glider Types'!$G:$G,MATCH(D26,'Glider Types'!$A:$A,0)),"")</f>
        <v>39</v>
      </c>
      <c r="L26" s="5" t="n">
        <f aca="false">IFERROR(INDEX('Glider Types'!$H:$H,MATCH(D26,'Glider Types'!$A:$A,0)),"")</f>
        <v>185</v>
      </c>
      <c r="M26" s="5" t="n">
        <f aca="false">IFERROR(INDEX('Glider Types'!$I:$I,MATCH(D26,'Glider Types'!$A:$A,0)),"")</f>
        <v>85</v>
      </c>
      <c r="N26" s="13"/>
      <c r="O26" s="13"/>
      <c r="P26" s="13"/>
    </row>
    <row r="27" customFormat="false" ht="23.85" hidden="false" customHeight="false" outlineLevel="0" collapsed="false">
      <c r="A27" s="5" t="s">
        <v>96</v>
      </c>
      <c r="B27" s="5" t="s">
        <v>97</v>
      </c>
      <c r="C27" s="5" t="s">
        <v>875</v>
      </c>
      <c r="D27" s="5" t="s">
        <v>758</v>
      </c>
      <c r="E27" s="5" t="s">
        <v>910</v>
      </c>
      <c r="F27" s="5" t="n">
        <v>1</v>
      </c>
      <c r="G27" s="5" t="s">
        <v>908</v>
      </c>
      <c r="H27" s="5" t="s">
        <v>864</v>
      </c>
      <c r="I27" s="5"/>
      <c r="J27" s="5" t="n">
        <f aca="false">IFERROR(INDEX('Glider Types'!$F:$F,MATCH(D27,'Glider Types'!$A:$A,0)),"")</f>
        <v>34</v>
      </c>
      <c r="K27" s="5" t="n">
        <f aca="false">IFERROR(INDEX('Glider Types'!$G:$G,MATCH(D27,'Glider Types'!$A:$A,0)),"")</f>
        <v>46</v>
      </c>
      <c r="L27" s="5" t="n">
        <f aca="false">IFERROR(INDEX('Glider Types'!$H:$H,MATCH(D27,'Glider Types'!$A:$A,0)),"")</f>
        <v>132</v>
      </c>
      <c r="M27" s="5" t="n">
        <f aca="false">IFERROR(INDEX('Glider Types'!$I:$I,MATCH(D27,'Glider Types'!$A:$A,0)),"")</f>
        <v>114</v>
      </c>
      <c r="N27" s="13"/>
      <c r="O27" s="13"/>
      <c r="P27" s="13"/>
    </row>
    <row r="28" customFormat="false" ht="23.85" hidden="false" customHeight="false" outlineLevel="0" collapsed="false">
      <c r="A28" s="5" t="s">
        <v>96</v>
      </c>
      <c r="B28" s="5" t="s">
        <v>97</v>
      </c>
      <c r="C28" s="5" t="s">
        <v>879</v>
      </c>
      <c r="D28" s="5" t="s">
        <v>754</v>
      </c>
      <c r="E28" s="5" t="s">
        <v>911</v>
      </c>
      <c r="F28" s="5" t="n">
        <v>1</v>
      </c>
      <c r="G28" s="5" t="s">
        <v>908</v>
      </c>
      <c r="H28" s="5" t="s">
        <v>864</v>
      </c>
      <c r="I28" s="5" t="s">
        <v>796</v>
      </c>
      <c r="J28" s="5" t="n">
        <f aca="false">IFERROR(INDEX('Glider Types'!$F:$F,MATCH(D28,'Glider Types'!$A:$A,0)),"")</f>
        <v>23</v>
      </c>
      <c r="K28" s="5" t="n">
        <f aca="false">IFERROR(INDEX('Glider Types'!$G:$G,MATCH(D28,'Glider Types'!$A:$A,0)),"")</f>
        <v>46</v>
      </c>
      <c r="L28" s="5" t="n">
        <f aca="false">IFERROR(INDEX('Glider Types'!$H:$H,MATCH(D28,'Glider Types'!$A:$A,0)),"")</f>
        <v>161</v>
      </c>
      <c r="M28" s="5" t="n">
        <f aca="false">IFERROR(INDEX('Glider Types'!$I:$I,MATCH(D28,'Glider Types'!$A:$A,0)),"")</f>
        <v>99</v>
      </c>
      <c r="N28" s="13"/>
      <c r="O28" s="13"/>
      <c r="P28" s="13"/>
    </row>
    <row r="29" customFormat="false" ht="23.85" hidden="false" customHeight="false" outlineLevel="0" collapsed="false">
      <c r="A29" s="5" t="s">
        <v>105</v>
      </c>
      <c r="B29" s="5" t="s">
        <v>106</v>
      </c>
      <c r="C29" s="5" t="s">
        <v>912</v>
      </c>
      <c r="D29" s="5" t="s">
        <v>797</v>
      </c>
      <c r="E29" s="5" t="s">
        <v>913</v>
      </c>
      <c r="F29" s="5" t="n">
        <v>2</v>
      </c>
      <c r="G29" s="5"/>
      <c r="H29" s="5" t="s">
        <v>914</v>
      </c>
      <c r="I29" s="5" t="s">
        <v>915</v>
      </c>
      <c r="J29" s="5" t="n">
        <f aca="false">IFERROR(INDEX('Glider Types'!$F:$F,MATCH(D29,'Glider Types'!$A:$A,0)),"")</f>
        <v>36.5</v>
      </c>
      <c r="K29" s="5" t="n">
        <f aca="false">IFERROR(INDEX('Glider Types'!$G:$G,MATCH(D29,'Glider Types'!$A:$A,0)),"")</f>
        <v>57</v>
      </c>
      <c r="L29" s="5" t="n">
        <f aca="false">IFERROR(INDEX('Glider Types'!$H:$H,MATCH(D29,'Glider Types'!$A:$A,0)),"")</f>
        <v>122</v>
      </c>
      <c r="M29" s="5" t="n">
        <f aca="false">IFERROR(INDEX('Glider Types'!$I:$I,MATCH(D29,'Glider Types'!$A:$A,0)),"")</f>
        <v>135</v>
      </c>
      <c r="N29" s="13"/>
      <c r="O29" s="13"/>
      <c r="P29" s="13"/>
    </row>
    <row r="30" customFormat="false" ht="23.85" hidden="false" customHeight="false" outlineLevel="0" collapsed="false">
      <c r="A30" s="5" t="s">
        <v>105</v>
      </c>
      <c r="B30" s="5" t="s">
        <v>106</v>
      </c>
      <c r="C30" s="5" t="s">
        <v>773</v>
      </c>
      <c r="D30" s="5" t="s">
        <v>772</v>
      </c>
      <c r="E30" s="5" t="s">
        <v>916</v>
      </c>
      <c r="F30" s="5" t="n">
        <v>2</v>
      </c>
      <c r="G30" s="5"/>
      <c r="H30" s="5" t="s">
        <v>914</v>
      </c>
      <c r="I30" s="5" t="s">
        <v>744</v>
      </c>
      <c r="J30" s="5" t="n">
        <f aca="false">IFERROR(INDEX('Glider Types'!$F:$F,MATCH(D30,'Glider Types'!$A:$A,0)),"")</f>
        <v>28</v>
      </c>
      <c r="K30" s="5" t="n">
        <f aca="false">IFERROR(INDEX('Glider Types'!$G:$G,MATCH(D30,'Glider Types'!$A:$A,0)),"")</f>
        <v>49</v>
      </c>
      <c r="L30" s="5" t="n">
        <f aca="false">IFERROR(INDEX('Glider Types'!$H:$H,MATCH(D30,'Glider Types'!$A:$A,0)),"")</f>
        <v>148</v>
      </c>
      <c r="M30" s="5" t="n">
        <f aca="false">IFERROR(INDEX('Glider Types'!$I:$I,MATCH(D30,'Glider Types'!$A:$A,0)),"")</f>
        <v>135</v>
      </c>
      <c r="N30" s="13"/>
      <c r="O30" s="13"/>
      <c r="P30" s="13"/>
    </row>
    <row r="31" customFormat="false" ht="23.85" hidden="false" customHeight="false" outlineLevel="0" collapsed="false">
      <c r="A31" s="5" t="s">
        <v>105</v>
      </c>
      <c r="B31" s="5" t="s">
        <v>106</v>
      </c>
      <c r="C31" s="5" t="s">
        <v>867</v>
      </c>
      <c r="D31" s="5" t="s">
        <v>741</v>
      </c>
      <c r="E31" s="5" t="s">
        <v>917</v>
      </c>
      <c r="F31" s="5" t="n">
        <v>2</v>
      </c>
      <c r="G31" s="5"/>
      <c r="H31" s="5" t="s">
        <v>914</v>
      </c>
      <c r="I31" s="5" t="s">
        <v>744</v>
      </c>
      <c r="J31" s="5" t="n">
        <f aca="false">IFERROR(INDEX('Glider Types'!$F:$F,MATCH(D31,'Glider Types'!$A:$A,0)),"")</f>
        <v>23</v>
      </c>
      <c r="K31" s="5" t="n">
        <f aca="false">IFERROR(INDEX('Glider Types'!$G:$G,MATCH(D31,'Glider Types'!$A:$A,0)),"")</f>
        <v>39</v>
      </c>
      <c r="L31" s="5" t="n">
        <f aca="false">IFERROR(INDEX('Glider Types'!$H:$H,MATCH(D31,'Glider Types'!$A:$A,0)),"")</f>
        <v>185</v>
      </c>
      <c r="M31" s="5" t="n">
        <f aca="false">IFERROR(INDEX('Glider Types'!$I:$I,MATCH(D31,'Glider Types'!$A:$A,0)),"")</f>
        <v>85</v>
      </c>
      <c r="N31" s="13"/>
      <c r="O31" s="13"/>
      <c r="P31" s="13"/>
    </row>
    <row r="32" customFormat="false" ht="23.85" hidden="false" customHeight="false" outlineLevel="0" collapsed="false">
      <c r="A32" s="5" t="s">
        <v>105</v>
      </c>
      <c r="B32" s="5" t="s">
        <v>106</v>
      </c>
      <c r="C32" s="5" t="s">
        <v>867</v>
      </c>
      <c r="D32" s="5" t="s">
        <v>741</v>
      </c>
      <c r="E32" s="5" t="s">
        <v>918</v>
      </c>
      <c r="F32" s="5" t="n">
        <v>2</v>
      </c>
      <c r="G32" s="5"/>
      <c r="H32" s="5" t="s">
        <v>914</v>
      </c>
      <c r="I32" s="5" t="s">
        <v>744</v>
      </c>
      <c r="J32" s="5" t="n">
        <f aca="false">IFERROR(INDEX('Glider Types'!$F:$F,MATCH(D32,'Glider Types'!$A:$A,0)),"")</f>
        <v>23</v>
      </c>
      <c r="K32" s="5" t="n">
        <f aca="false">IFERROR(INDEX('Glider Types'!$G:$G,MATCH(D32,'Glider Types'!$A:$A,0)),"")</f>
        <v>39</v>
      </c>
      <c r="L32" s="5" t="n">
        <f aca="false">IFERROR(INDEX('Glider Types'!$H:$H,MATCH(D32,'Glider Types'!$A:$A,0)),"")</f>
        <v>185</v>
      </c>
      <c r="M32" s="5" t="n">
        <f aca="false">IFERROR(INDEX('Glider Types'!$I:$I,MATCH(D32,'Glider Types'!$A:$A,0)),"")</f>
        <v>85</v>
      </c>
      <c r="N32" s="13"/>
      <c r="O32" s="13"/>
      <c r="P32" s="13"/>
    </row>
    <row r="33" customFormat="false" ht="23.85" hidden="false" customHeight="false" outlineLevel="0" collapsed="false">
      <c r="A33" s="5" t="s">
        <v>105</v>
      </c>
      <c r="B33" s="5" t="s">
        <v>106</v>
      </c>
      <c r="C33" s="5" t="s">
        <v>919</v>
      </c>
      <c r="D33" s="5" t="s">
        <v>754</v>
      </c>
      <c r="E33" s="5" t="s">
        <v>920</v>
      </c>
      <c r="F33" s="5" t="n">
        <v>1</v>
      </c>
      <c r="G33" s="5"/>
      <c r="H33" s="5" t="s">
        <v>914</v>
      </c>
      <c r="I33" s="5" t="s">
        <v>796</v>
      </c>
      <c r="J33" s="5" t="n">
        <f aca="false">IFERROR(INDEX('Glider Types'!$F:$F,MATCH(D33,'Glider Types'!$A:$A,0)),"")</f>
        <v>23</v>
      </c>
      <c r="K33" s="5" t="n">
        <f aca="false">IFERROR(INDEX('Glider Types'!$G:$G,MATCH(D33,'Glider Types'!$A:$A,0)),"")</f>
        <v>46</v>
      </c>
      <c r="L33" s="5" t="n">
        <f aca="false">IFERROR(INDEX('Glider Types'!$H:$H,MATCH(D33,'Glider Types'!$A:$A,0)),"")</f>
        <v>161</v>
      </c>
      <c r="M33" s="5" t="n">
        <f aca="false">IFERROR(INDEX('Glider Types'!$I:$I,MATCH(D33,'Glider Types'!$A:$A,0)),"")</f>
        <v>99</v>
      </c>
      <c r="N33" s="13"/>
      <c r="O33" s="13"/>
      <c r="P33" s="13"/>
    </row>
    <row r="34" customFormat="false" ht="23.85" hidden="false" customHeight="false" outlineLevel="0" collapsed="false">
      <c r="A34" s="5" t="s">
        <v>105</v>
      </c>
      <c r="B34" s="5" t="s">
        <v>106</v>
      </c>
      <c r="C34" s="5" t="s">
        <v>879</v>
      </c>
      <c r="D34" s="5" t="s">
        <v>754</v>
      </c>
      <c r="E34" s="5" t="s">
        <v>921</v>
      </c>
      <c r="F34" s="5" t="n">
        <v>1</v>
      </c>
      <c r="G34" s="5"/>
      <c r="H34" s="5" t="s">
        <v>914</v>
      </c>
      <c r="I34" s="5" t="s">
        <v>796</v>
      </c>
      <c r="J34" s="5" t="n">
        <f aca="false">IFERROR(INDEX('Glider Types'!$F:$F,MATCH(D34,'Glider Types'!$A:$A,0)),"")</f>
        <v>23</v>
      </c>
      <c r="K34" s="5" t="n">
        <f aca="false">IFERROR(INDEX('Glider Types'!$G:$G,MATCH(D34,'Glider Types'!$A:$A,0)),"")</f>
        <v>46</v>
      </c>
      <c r="L34" s="5" t="n">
        <f aca="false">IFERROR(INDEX('Glider Types'!$H:$H,MATCH(D34,'Glider Types'!$A:$A,0)),"")</f>
        <v>161</v>
      </c>
      <c r="M34" s="5" t="n">
        <f aca="false">IFERROR(INDEX('Glider Types'!$I:$I,MATCH(D34,'Glider Types'!$A:$A,0)),"")</f>
        <v>99</v>
      </c>
      <c r="N34" s="13"/>
      <c r="O34" s="13"/>
      <c r="P34" s="13"/>
    </row>
    <row r="35" customFormat="false" ht="23.85" hidden="false" customHeight="false" outlineLevel="0" collapsed="false">
      <c r="A35" s="5" t="s">
        <v>105</v>
      </c>
      <c r="B35" s="5" t="s">
        <v>106</v>
      </c>
      <c r="C35" s="5" t="s">
        <v>922</v>
      </c>
      <c r="D35" s="5" t="s">
        <v>806</v>
      </c>
      <c r="E35" s="5" t="s">
        <v>923</v>
      </c>
      <c r="F35" s="5" t="n">
        <v>1</v>
      </c>
      <c r="G35" s="5"/>
      <c r="H35" s="5" t="s">
        <v>914</v>
      </c>
      <c r="I35" s="5" t="s">
        <v>809</v>
      </c>
      <c r="J35" s="5" t="n">
        <f aca="false">IFERROR(INDEX('Glider Types'!$F:$F,MATCH(D35,'Glider Types'!$A:$A,0)),"")</f>
        <v>35</v>
      </c>
      <c r="K35" s="5" t="n">
        <f aca="false">IFERROR(INDEX('Glider Types'!$G:$G,MATCH(D35,'Glider Types'!$A:$A,0)),"")</f>
        <v>46</v>
      </c>
      <c r="L35" s="5" t="n">
        <f aca="false">IFERROR(INDEX('Glider Types'!$H:$H,MATCH(D35,'Glider Types'!$A:$A,0)),"")</f>
        <v>126</v>
      </c>
      <c r="M35" s="5" t="n">
        <f aca="false">IFERROR(INDEX('Glider Types'!$I:$I,MATCH(D35,'Glider Types'!$A:$A,0)),"")</f>
        <v>130</v>
      </c>
      <c r="N35" s="13"/>
      <c r="O35" s="13"/>
      <c r="P35" s="13"/>
    </row>
    <row r="36" customFormat="false" ht="23.85" hidden="false" customHeight="false" outlineLevel="0" collapsed="false">
      <c r="A36" s="5" t="s">
        <v>117</v>
      </c>
      <c r="B36" s="5" t="s">
        <v>118</v>
      </c>
      <c r="C36" s="5" t="s">
        <v>867</v>
      </c>
      <c r="D36" s="5" t="s">
        <v>741</v>
      </c>
      <c r="E36" s="5" t="s">
        <v>924</v>
      </c>
      <c r="F36" s="5" t="n">
        <v>2</v>
      </c>
      <c r="G36" s="5"/>
      <c r="H36" s="5" t="s">
        <v>864</v>
      </c>
      <c r="I36" s="5"/>
      <c r="J36" s="5" t="n">
        <f aca="false">IFERROR(INDEX('Glider Types'!$F:$F,MATCH(D36,'Glider Types'!$A:$A,0)),"")</f>
        <v>23</v>
      </c>
      <c r="K36" s="5" t="n">
        <f aca="false">IFERROR(INDEX('Glider Types'!$G:$G,MATCH(D36,'Glider Types'!$A:$A,0)),"")</f>
        <v>39</v>
      </c>
      <c r="L36" s="5" t="n">
        <f aca="false">IFERROR(INDEX('Glider Types'!$H:$H,MATCH(D36,'Glider Types'!$A:$A,0)),"")</f>
        <v>185</v>
      </c>
      <c r="M36" s="5" t="n">
        <f aca="false">IFERROR(INDEX('Glider Types'!$I:$I,MATCH(D36,'Glider Types'!$A:$A,0)),"")</f>
        <v>85</v>
      </c>
      <c r="N36" s="13"/>
      <c r="O36" s="13"/>
      <c r="P36" s="13"/>
    </row>
    <row r="37" customFormat="false" ht="23.85" hidden="false" customHeight="false" outlineLevel="0" collapsed="false">
      <c r="A37" s="5" t="s">
        <v>117</v>
      </c>
      <c r="B37" s="5" t="s">
        <v>118</v>
      </c>
      <c r="C37" s="5" t="s">
        <v>867</v>
      </c>
      <c r="D37" s="5" t="s">
        <v>741</v>
      </c>
      <c r="E37" s="5" t="s">
        <v>925</v>
      </c>
      <c r="F37" s="5" t="n">
        <v>2</v>
      </c>
      <c r="G37" s="5"/>
      <c r="H37" s="5" t="s">
        <v>864</v>
      </c>
      <c r="I37" s="5"/>
      <c r="J37" s="5" t="n">
        <f aca="false">IFERROR(INDEX('Glider Types'!$F:$F,MATCH(D37,'Glider Types'!$A:$A,0)),"")</f>
        <v>23</v>
      </c>
      <c r="K37" s="5" t="n">
        <f aca="false">IFERROR(INDEX('Glider Types'!$G:$G,MATCH(D37,'Glider Types'!$A:$A,0)),"")</f>
        <v>39</v>
      </c>
      <c r="L37" s="5" t="n">
        <f aca="false">IFERROR(INDEX('Glider Types'!$H:$H,MATCH(D37,'Glider Types'!$A:$A,0)),"")</f>
        <v>185</v>
      </c>
      <c r="M37" s="5" t="n">
        <f aca="false">IFERROR(INDEX('Glider Types'!$I:$I,MATCH(D37,'Glider Types'!$A:$A,0)),"")</f>
        <v>85</v>
      </c>
      <c r="N37" s="13"/>
      <c r="O37" s="13"/>
      <c r="P37" s="13"/>
    </row>
    <row r="38" customFormat="false" ht="23.85" hidden="false" customHeight="false" outlineLevel="0" collapsed="false">
      <c r="A38" s="5" t="s">
        <v>117</v>
      </c>
      <c r="B38" s="5" t="s">
        <v>118</v>
      </c>
      <c r="C38" s="5" t="s">
        <v>879</v>
      </c>
      <c r="D38" s="5" t="s">
        <v>754</v>
      </c>
      <c r="E38" s="5" t="s">
        <v>926</v>
      </c>
      <c r="F38" s="5" t="n">
        <v>1</v>
      </c>
      <c r="G38" s="5"/>
      <c r="H38" s="5" t="s">
        <v>864</v>
      </c>
      <c r="I38" s="5" t="s">
        <v>796</v>
      </c>
      <c r="J38" s="5" t="n">
        <f aca="false">IFERROR(INDEX('Glider Types'!$F:$F,MATCH(D38,'Glider Types'!$A:$A,0)),"")</f>
        <v>23</v>
      </c>
      <c r="K38" s="5" t="n">
        <f aca="false">IFERROR(INDEX('Glider Types'!$G:$G,MATCH(D38,'Glider Types'!$A:$A,0)),"")</f>
        <v>46</v>
      </c>
      <c r="L38" s="5" t="n">
        <f aca="false">IFERROR(INDEX('Glider Types'!$H:$H,MATCH(D38,'Glider Types'!$A:$A,0)),"")</f>
        <v>161</v>
      </c>
      <c r="M38" s="5" t="n">
        <f aca="false">IFERROR(INDEX('Glider Types'!$I:$I,MATCH(D38,'Glider Types'!$A:$A,0)),"")</f>
        <v>99</v>
      </c>
      <c r="N38" s="13"/>
      <c r="O38" s="13"/>
      <c r="P38" s="13"/>
    </row>
    <row r="39" customFormat="false" ht="23.85" hidden="false" customHeight="false" outlineLevel="0" collapsed="false">
      <c r="A39" s="5" t="s">
        <v>117</v>
      </c>
      <c r="B39" s="5" t="s">
        <v>118</v>
      </c>
      <c r="C39" s="5" t="s">
        <v>875</v>
      </c>
      <c r="D39" s="5" t="s">
        <v>758</v>
      </c>
      <c r="E39" s="5" t="s">
        <v>927</v>
      </c>
      <c r="F39" s="5" t="n">
        <v>1</v>
      </c>
      <c r="G39" s="5"/>
      <c r="H39" s="5" t="s">
        <v>864</v>
      </c>
      <c r="I39" s="5"/>
      <c r="J39" s="5" t="n">
        <f aca="false">IFERROR(INDEX('Glider Types'!$F:$F,MATCH(D39,'Glider Types'!$A:$A,0)),"")</f>
        <v>34</v>
      </c>
      <c r="K39" s="5" t="n">
        <f aca="false">IFERROR(INDEX('Glider Types'!$G:$G,MATCH(D39,'Glider Types'!$A:$A,0)),"")</f>
        <v>46</v>
      </c>
      <c r="L39" s="5" t="n">
        <f aca="false">IFERROR(INDEX('Glider Types'!$H:$H,MATCH(D39,'Glider Types'!$A:$A,0)),"")</f>
        <v>132</v>
      </c>
      <c r="M39" s="5" t="n">
        <f aca="false">IFERROR(INDEX('Glider Types'!$I:$I,MATCH(D39,'Glider Types'!$A:$A,0)),"")</f>
        <v>114</v>
      </c>
      <c r="N39" s="13"/>
      <c r="O39" s="13"/>
      <c r="P39" s="13"/>
    </row>
    <row r="40" customFormat="false" ht="23.85" hidden="false" customHeight="false" outlineLevel="0" collapsed="false">
      <c r="A40" s="5" t="s">
        <v>156</v>
      </c>
      <c r="B40" s="5" t="s">
        <v>157</v>
      </c>
      <c r="C40" s="5" t="s">
        <v>928</v>
      </c>
      <c r="D40" s="5" t="s">
        <v>797</v>
      </c>
      <c r="E40" s="5" t="s">
        <v>870</v>
      </c>
      <c r="F40" s="5" t="n">
        <v>2</v>
      </c>
      <c r="G40" s="5" t="s">
        <v>929</v>
      </c>
      <c r="H40" s="5" t="s">
        <v>883</v>
      </c>
      <c r="I40" s="5" t="s">
        <v>930</v>
      </c>
      <c r="J40" s="5" t="n">
        <f aca="false">IFERROR(INDEX('Glider Types'!$F:$F,MATCH(D40,'Glider Types'!$A:$A,0)),"")</f>
        <v>36.5</v>
      </c>
      <c r="K40" s="5" t="n">
        <f aca="false">IFERROR(INDEX('Glider Types'!$G:$G,MATCH(D40,'Glider Types'!$A:$A,0)),"")</f>
        <v>57</v>
      </c>
      <c r="L40" s="5" t="n">
        <f aca="false">IFERROR(INDEX('Glider Types'!$H:$H,MATCH(D40,'Glider Types'!$A:$A,0)),"")</f>
        <v>122</v>
      </c>
      <c r="M40" s="5" t="n">
        <f aca="false">IFERROR(INDEX('Glider Types'!$I:$I,MATCH(D40,'Glider Types'!$A:$A,0)),"")</f>
        <v>135</v>
      </c>
      <c r="N40" s="13"/>
      <c r="O40" s="13"/>
      <c r="P40" s="13"/>
    </row>
    <row r="41" customFormat="false" ht="23.85" hidden="false" customHeight="false" outlineLevel="0" collapsed="false">
      <c r="A41" s="5" t="s">
        <v>156</v>
      </c>
      <c r="B41" s="5" t="s">
        <v>157</v>
      </c>
      <c r="C41" s="5" t="s">
        <v>867</v>
      </c>
      <c r="D41" s="5" t="s">
        <v>741</v>
      </c>
      <c r="E41" s="5" t="s">
        <v>931</v>
      </c>
      <c r="F41" s="5" t="n">
        <v>2</v>
      </c>
      <c r="G41" s="5" t="s">
        <v>932</v>
      </c>
      <c r="H41" s="5" t="s">
        <v>883</v>
      </c>
      <c r="I41" s="5" t="s">
        <v>744</v>
      </c>
      <c r="J41" s="5" t="n">
        <f aca="false">IFERROR(INDEX('Glider Types'!$F:$F,MATCH(D41,'Glider Types'!$A:$A,0)),"")</f>
        <v>23</v>
      </c>
      <c r="K41" s="5" t="n">
        <f aca="false">IFERROR(INDEX('Glider Types'!$G:$G,MATCH(D41,'Glider Types'!$A:$A,0)),"")</f>
        <v>39</v>
      </c>
      <c r="L41" s="5" t="n">
        <f aca="false">IFERROR(INDEX('Glider Types'!$H:$H,MATCH(D41,'Glider Types'!$A:$A,0)),"")</f>
        <v>185</v>
      </c>
      <c r="M41" s="5" t="n">
        <f aca="false">IFERROR(INDEX('Glider Types'!$I:$I,MATCH(D41,'Glider Types'!$A:$A,0)),"")</f>
        <v>85</v>
      </c>
      <c r="N41" s="13"/>
      <c r="O41" s="13"/>
      <c r="P41" s="13"/>
    </row>
    <row r="42" customFormat="false" ht="23.85" hidden="false" customHeight="false" outlineLevel="0" collapsed="false">
      <c r="A42" s="5" t="s">
        <v>156</v>
      </c>
      <c r="B42" s="5" t="s">
        <v>157</v>
      </c>
      <c r="C42" s="5" t="s">
        <v>867</v>
      </c>
      <c r="D42" s="5" t="s">
        <v>741</v>
      </c>
      <c r="E42" s="5" t="s">
        <v>933</v>
      </c>
      <c r="F42" s="5" t="n">
        <v>2</v>
      </c>
      <c r="G42" s="5" t="s">
        <v>932</v>
      </c>
      <c r="H42" s="5" t="s">
        <v>883</v>
      </c>
      <c r="I42" s="5" t="s">
        <v>744</v>
      </c>
      <c r="J42" s="5" t="n">
        <f aca="false">IFERROR(INDEX('Glider Types'!$F:$F,MATCH(D42,'Glider Types'!$A:$A,0)),"")</f>
        <v>23</v>
      </c>
      <c r="K42" s="5" t="n">
        <f aca="false">IFERROR(INDEX('Glider Types'!$G:$G,MATCH(D42,'Glider Types'!$A:$A,0)),"")</f>
        <v>39</v>
      </c>
      <c r="L42" s="5" t="n">
        <f aca="false">IFERROR(INDEX('Glider Types'!$H:$H,MATCH(D42,'Glider Types'!$A:$A,0)),"")</f>
        <v>185</v>
      </c>
      <c r="M42" s="5" t="n">
        <f aca="false">IFERROR(INDEX('Glider Types'!$I:$I,MATCH(D42,'Glider Types'!$A:$A,0)),"")</f>
        <v>85</v>
      </c>
      <c r="N42" s="13"/>
      <c r="O42" s="13"/>
      <c r="P42" s="13"/>
    </row>
    <row r="43" customFormat="false" ht="23.85" hidden="false" customHeight="false" outlineLevel="0" collapsed="false">
      <c r="A43" s="5" t="s">
        <v>156</v>
      </c>
      <c r="B43" s="5" t="s">
        <v>157</v>
      </c>
      <c r="C43" s="5" t="s">
        <v>879</v>
      </c>
      <c r="D43" s="5" t="s">
        <v>754</v>
      </c>
      <c r="E43" s="5" t="s">
        <v>934</v>
      </c>
      <c r="F43" s="5" t="n">
        <v>1</v>
      </c>
      <c r="G43" s="5" t="s">
        <v>935</v>
      </c>
      <c r="H43" s="5" t="s">
        <v>883</v>
      </c>
      <c r="I43" s="5" t="s">
        <v>936</v>
      </c>
      <c r="J43" s="5" t="n">
        <f aca="false">IFERROR(INDEX('Glider Types'!$F:$F,MATCH(D43,'Glider Types'!$A:$A,0)),"")</f>
        <v>23</v>
      </c>
      <c r="K43" s="5" t="n">
        <f aca="false">IFERROR(INDEX('Glider Types'!$G:$G,MATCH(D43,'Glider Types'!$A:$A,0)),"")</f>
        <v>46</v>
      </c>
      <c r="L43" s="5" t="n">
        <f aca="false">IFERROR(INDEX('Glider Types'!$H:$H,MATCH(D43,'Glider Types'!$A:$A,0)),"")</f>
        <v>161</v>
      </c>
      <c r="M43" s="5" t="n">
        <f aca="false">IFERROR(INDEX('Glider Types'!$I:$I,MATCH(D43,'Glider Types'!$A:$A,0)),"")</f>
        <v>99</v>
      </c>
      <c r="N43" s="13"/>
      <c r="O43" s="13"/>
      <c r="P43" s="13"/>
    </row>
    <row r="44" customFormat="false" ht="15" hidden="false" customHeight="false" outlineLevel="0" collapsed="false">
      <c r="A44" s="5" t="s">
        <v>205</v>
      </c>
      <c r="B44" s="5" t="s">
        <v>206</v>
      </c>
      <c r="C44" s="5" t="s">
        <v>912</v>
      </c>
      <c r="D44" s="5" t="s">
        <v>797</v>
      </c>
      <c r="E44" s="5" t="s">
        <v>937</v>
      </c>
      <c r="F44" s="5" t="n">
        <v>2</v>
      </c>
      <c r="G44" s="5" t="s">
        <v>938</v>
      </c>
      <c r="H44" s="5" t="s">
        <v>864</v>
      </c>
      <c r="I44" s="5" t="s">
        <v>930</v>
      </c>
      <c r="J44" s="5" t="n">
        <f aca="false">IFERROR(INDEX('Glider Types'!$F:$F,MATCH(D44,'Glider Types'!$A:$A,0)),"")</f>
        <v>36.5</v>
      </c>
      <c r="K44" s="5" t="n">
        <f aca="false">IFERROR(INDEX('Glider Types'!$G:$G,MATCH(D44,'Glider Types'!$A:$A,0)),"")</f>
        <v>57</v>
      </c>
      <c r="L44" s="5" t="n">
        <f aca="false">IFERROR(INDEX('Glider Types'!$H:$H,MATCH(D44,'Glider Types'!$A:$A,0)),"")</f>
        <v>122</v>
      </c>
      <c r="M44" s="5" t="n">
        <f aca="false">IFERROR(INDEX('Glider Types'!$I:$I,MATCH(D44,'Glider Types'!$A:$A,0)),"")</f>
        <v>135</v>
      </c>
      <c r="N44" s="13"/>
      <c r="O44" s="13"/>
      <c r="P44" s="13"/>
    </row>
    <row r="45" customFormat="false" ht="15" hidden="false" customHeight="false" outlineLevel="0" collapsed="false">
      <c r="A45" s="5" t="s">
        <v>205</v>
      </c>
      <c r="B45" s="5" t="s">
        <v>206</v>
      </c>
      <c r="C45" s="5" t="s">
        <v>939</v>
      </c>
      <c r="D45" s="5" t="s">
        <v>810</v>
      </c>
      <c r="E45" s="5" t="s">
        <v>940</v>
      </c>
      <c r="F45" s="5" t="n">
        <v>1</v>
      </c>
      <c r="G45" s="5" t="s">
        <v>938</v>
      </c>
      <c r="H45" s="5" t="s">
        <v>864</v>
      </c>
      <c r="I45" s="5" t="s">
        <v>744</v>
      </c>
      <c r="J45" s="5" t="n">
        <f aca="false">IFERROR(INDEX('Glider Types'!$F:$F,MATCH(D45,'Glider Types'!$A:$A,0)),"")</f>
        <v>40.5</v>
      </c>
      <c r="K45" s="5" t="n">
        <f aca="false">IFERROR(INDEX('Glider Types'!$G:$G,MATCH(D45,'Glider Types'!$A:$A,0)),"")</f>
        <v>54</v>
      </c>
      <c r="L45" s="5" t="n">
        <f aca="false">IFERROR(INDEX('Glider Types'!$H:$H,MATCH(D45,'Glider Types'!$A:$A,0)),"")</f>
        <v>118</v>
      </c>
      <c r="M45" s="5" t="n">
        <f aca="false">IFERROR(INDEX('Glider Types'!$I:$I,MATCH(D45,'Glider Types'!$A:$A,0)),"")</f>
        <v>146</v>
      </c>
      <c r="N45" s="13"/>
      <c r="O45" s="13"/>
      <c r="P45" s="13"/>
    </row>
    <row r="46" customFormat="false" ht="15" hidden="false" customHeight="false" outlineLevel="0" collapsed="false">
      <c r="A46" s="5" t="s">
        <v>205</v>
      </c>
      <c r="B46" s="5" t="s">
        <v>206</v>
      </c>
      <c r="C46" s="5" t="s">
        <v>922</v>
      </c>
      <c r="D46" s="5" t="s">
        <v>806</v>
      </c>
      <c r="E46" s="5" t="s">
        <v>941</v>
      </c>
      <c r="F46" s="5" t="n">
        <v>1</v>
      </c>
      <c r="G46" s="5" t="s">
        <v>938</v>
      </c>
      <c r="H46" s="5" t="s">
        <v>864</v>
      </c>
      <c r="I46" s="5"/>
      <c r="J46" s="5" t="n">
        <f aca="false">IFERROR(INDEX('Glider Types'!$F:$F,MATCH(D46,'Glider Types'!$A:$A,0)),"")</f>
        <v>35</v>
      </c>
      <c r="K46" s="5" t="n">
        <f aca="false">IFERROR(INDEX('Glider Types'!$G:$G,MATCH(D46,'Glider Types'!$A:$A,0)),"")</f>
        <v>46</v>
      </c>
      <c r="L46" s="5" t="n">
        <f aca="false">IFERROR(INDEX('Glider Types'!$H:$H,MATCH(D46,'Glider Types'!$A:$A,0)),"")</f>
        <v>126</v>
      </c>
      <c r="M46" s="5" t="n">
        <f aca="false">IFERROR(INDEX('Glider Types'!$I:$I,MATCH(D46,'Glider Types'!$A:$A,0)),"")</f>
        <v>130</v>
      </c>
      <c r="N46" s="13"/>
      <c r="O46" s="13"/>
      <c r="P46" s="13"/>
    </row>
    <row r="47" customFormat="false" ht="15" hidden="false" customHeight="false" outlineLevel="0" collapsed="false">
      <c r="A47" s="5" t="s">
        <v>205</v>
      </c>
      <c r="B47" s="5" t="s">
        <v>206</v>
      </c>
      <c r="C47" s="5" t="s">
        <v>875</v>
      </c>
      <c r="D47" s="5" t="s">
        <v>758</v>
      </c>
      <c r="E47" s="5" t="s">
        <v>942</v>
      </c>
      <c r="F47" s="5" t="n">
        <v>1</v>
      </c>
      <c r="G47" s="5" t="s">
        <v>938</v>
      </c>
      <c r="H47" s="5" t="s">
        <v>864</v>
      </c>
      <c r="I47" s="5"/>
      <c r="J47" s="5" t="n">
        <f aca="false">IFERROR(INDEX('Glider Types'!$F:$F,MATCH(D47,'Glider Types'!$A:$A,0)),"")</f>
        <v>34</v>
      </c>
      <c r="K47" s="5" t="n">
        <f aca="false">IFERROR(INDEX('Glider Types'!$G:$G,MATCH(D47,'Glider Types'!$A:$A,0)),"")</f>
        <v>46</v>
      </c>
      <c r="L47" s="5" t="n">
        <f aca="false">IFERROR(INDEX('Glider Types'!$H:$H,MATCH(D47,'Glider Types'!$A:$A,0)),"")</f>
        <v>132</v>
      </c>
      <c r="M47" s="5" t="n">
        <f aca="false">IFERROR(INDEX('Glider Types'!$I:$I,MATCH(D47,'Glider Types'!$A:$A,0)),"")</f>
        <v>114</v>
      </c>
      <c r="N47" s="13"/>
      <c r="O47" s="13"/>
      <c r="P47" s="13"/>
    </row>
    <row r="48" customFormat="false" ht="23.85" hidden="false" customHeight="false" outlineLevel="0" collapsed="false">
      <c r="A48" s="5" t="s">
        <v>205</v>
      </c>
      <c r="B48" s="5" t="s">
        <v>206</v>
      </c>
      <c r="C48" s="5" t="s">
        <v>943</v>
      </c>
      <c r="D48" s="5" t="s">
        <v>754</v>
      </c>
      <c r="E48" s="5" t="s">
        <v>944</v>
      </c>
      <c r="F48" s="5" t="n">
        <v>1</v>
      </c>
      <c r="G48" s="5" t="s">
        <v>938</v>
      </c>
      <c r="H48" s="5" t="s">
        <v>864</v>
      </c>
      <c r="I48" s="5" t="s">
        <v>936</v>
      </c>
      <c r="J48" s="5" t="n">
        <f aca="false">IFERROR(INDEX('Glider Types'!$F:$F,MATCH(D48,'Glider Types'!$A:$A,0)),"")</f>
        <v>23</v>
      </c>
      <c r="K48" s="5" t="n">
        <f aca="false">IFERROR(INDEX('Glider Types'!$G:$G,MATCH(D48,'Glider Types'!$A:$A,0)),"")</f>
        <v>46</v>
      </c>
      <c r="L48" s="5" t="n">
        <f aca="false">IFERROR(INDEX('Glider Types'!$H:$H,MATCH(D48,'Glider Types'!$A:$A,0)),"")</f>
        <v>161</v>
      </c>
      <c r="M48" s="5" t="n">
        <f aca="false">IFERROR(INDEX('Glider Types'!$I:$I,MATCH(D48,'Glider Types'!$A:$A,0)),"")</f>
        <v>99</v>
      </c>
      <c r="N48" s="13"/>
      <c r="O48" s="13"/>
      <c r="P48" s="13"/>
    </row>
    <row r="49" customFormat="false" ht="15" hidden="false" customHeight="false" outlineLevel="0" collapsed="false">
      <c r="A49" s="5" t="s">
        <v>205</v>
      </c>
      <c r="B49" s="5" t="s">
        <v>206</v>
      </c>
      <c r="C49" s="5" t="s">
        <v>867</v>
      </c>
      <c r="D49" s="5" t="s">
        <v>741</v>
      </c>
      <c r="E49" s="5" t="s">
        <v>945</v>
      </c>
      <c r="F49" s="5" t="n">
        <v>2</v>
      </c>
      <c r="G49" s="5" t="s">
        <v>938</v>
      </c>
      <c r="H49" s="5" t="s">
        <v>864</v>
      </c>
      <c r="I49" s="5" t="s">
        <v>744</v>
      </c>
      <c r="J49" s="5" t="n">
        <f aca="false">IFERROR(INDEX('Glider Types'!$F:$F,MATCH(D49,'Glider Types'!$A:$A,0)),"")</f>
        <v>23</v>
      </c>
      <c r="K49" s="5" t="n">
        <f aca="false">IFERROR(INDEX('Glider Types'!$G:$G,MATCH(D49,'Glider Types'!$A:$A,0)),"")</f>
        <v>39</v>
      </c>
      <c r="L49" s="5" t="n">
        <f aca="false">IFERROR(INDEX('Glider Types'!$H:$H,MATCH(D49,'Glider Types'!$A:$A,0)),"")</f>
        <v>185</v>
      </c>
      <c r="M49" s="5" t="n">
        <f aca="false">IFERROR(INDEX('Glider Types'!$I:$I,MATCH(D49,'Glider Types'!$A:$A,0)),"")</f>
        <v>85</v>
      </c>
      <c r="N49" s="13"/>
      <c r="O49" s="13"/>
      <c r="P49" s="13"/>
    </row>
    <row r="50" customFormat="false" ht="15" hidden="false" customHeight="false" outlineLevel="0" collapsed="false">
      <c r="A50" s="5" t="s">
        <v>205</v>
      </c>
      <c r="B50" s="5" t="s">
        <v>206</v>
      </c>
      <c r="C50" s="5" t="s">
        <v>867</v>
      </c>
      <c r="D50" s="5" t="s">
        <v>741</v>
      </c>
      <c r="E50" s="5" t="s">
        <v>946</v>
      </c>
      <c r="F50" s="5" t="n">
        <v>2</v>
      </c>
      <c r="G50" s="5" t="s">
        <v>938</v>
      </c>
      <c r="H50" s="5" t="s">
        <v>864</v>
      </c>
      <c r="I50" s="5" t="s">
        <v>744</v>
      </c>
      <c r="J50" s="5" t="n">
        <f aca="false">IFERROR(INDEX('Glider Types'!$F:$F,MATCH(D50,'Glider Types'!$A:$A,0)),"")</f>
        <v>23</v>
      </c>
      <c r="K50" s="5" t="n">
        <f aca="false">IFERROR(INDEX('Glider Types'!$G:$G,MATCH(D50,'Glider Types'!$A:$A,0)),"")</f>
        <v>39</v>
      </c>
      <c r="L50" s="5" t="n">
        <f aca="false">IFERROR(INDEX('Glider Types'!$H:$H,MATCH(D50,'Glider Types'!$A:$A,0)),"")</f>
        <v>185</v>
      </c>
      <c r="M50" s="5" t="n">
        <f aca="false">IFERROR(INDEX('Glider Types'!$I:$I,MATCH(D50,'Glider Types'!$A:$A,0)),"")</f>
        <v>85</v>
      </c>
      <c r="N50" s="13"/>
      <c r="O50" s="13"/>
      <c r="P50" s="13"/>
    </row>
    <row r="51" customFormat="false" ht="15" hidden="false" customHeight="false" outlineLevel="0" collapsed="false">
      <c r="A51" s="5" t="s">
        <v>205</v>
      </c>
      <c r="B51" s="5" t="s">
        <v>206</v>
      </c>
      <c r="C51" s="5" t="s">
        <v>947</v>
      </c>
      <c r="D51" s="5" t="s">
        <v>833</v>
      </c>
      <c r="E51" s="5" t="s">
        <v>948</v>
      </c>
      <c r="F51" s="5" t="n">
        <v>2</v>
      </c>
      <c r="G51" s="5" t="s">
        <v>938</v>
      </c>
      <c r="H51" s="5" t="s">
        <v>864</v>
      </c>
      <c r="I51" s="5"/>
      <c r="J51" s="5" t="n">
        <f aca="false">IFERROR(INDEX('Glider Types'!$F:$F,MATCH(D51,'Glider Types'!$A:$A,0)),"")</f>
        <v>34</v>
      </c>
      <c r="K51" s="5" t="n">
        <f aca="false">IFERROR(INDEX('Glider Types'!$G:$G,MATCH(D51,'Glider Types'!$A:$A,0)),"")</f>
        <v>49</v>
      </c>
      <c r="L51" s="5" t="n">
        <f aca="false">IFERROR(INDEX('Glider Types'!$H:$H,MATCH(D51,'Glider Types'!$A:$A,0)),"")</f>
        <v>138</v>
      </c>
      <c r="M51" s="5" t="n">
        <f aca="false">IFERROR(INDEX('Glider Types'!$I:$I,MATCH(D51,'Glider Types'!$A:$A,0)),"")</f>
        <v>113</v>
      </c>
      <c r="N51" s="13"/>
      <c r="O51" s="13"/>
      <c r="P51" s="13"/>
    </row>
    <row r="52" customFormat="false" ht="15" hidden="false" customHeight="false" outlineLevel="0" collapsed="false">
      <c r="A52" s="5" t="s">
        <v>226</v>
      </c>
      <c r="B52" s="5" t="s">
        <v>227</v>
      </c>
      <c r="C52" s="5" t="s">
        <v>949</v>
      </c>
      <c r="D52" s="5" t="s">
        <v>797</v>
      </c>
      <c r="E52" s="5" t="s">
        <v>950</v>
      </c>
      <c r="F52" s="5" t="n">
        <v>2</v>
      </c>
      <c r="G52" s="5"/>
      <c r="H52" s="5" t="s">
        <v>435</v>
      </c>
      <c r="I52" s="5" t="s">
        <v>930</v>
      </c>
      <c r="J52" s="5" t="n">
        <f aca="false">IFERROR(INDEX('Glider Types'!$F:$F,MATCH(D52,'Glider Types'!$A:$A,0)),"")</f>
        <v>36.5</v>
      </c>
      <c r="K52" s="5" t="n">
        <f aca="false">IFERROR(INDEX('Glider Types'!$G:$G,MATCH(D52,'Glider Types'!$A:$A,0)),"")</f>
        <v>57</v>
      </c>
      <c r="L52" s="5" t="n">
        <f aca="false">IFERROR(INDEX('Glider Types'!$H:$H,MATCH(D52,'Glider Types'!$A:$A,0)),"")</f>
        <v>122</v>
      </c>
      <c r="M52" s="5" t="n">
        <f aca="false">IFERROR(INDEX('Glider Types'!$I:$I,MATCH(D52,'Glider Types'!$A:$A,0)),"")</f>
        <v>135</v>
      </c>
      <c r="N52" s="13"/>
      <c r="O52" s="13"/>
      <c r="P52" s="13"/>
    </row>
    <row r="53" customFormat="false" ht="23.85" hidden="false" customHeight="false" outlineLevel="0" collapsed="false">
      <c r="A53" s="5" t="s">
        <v>226</v>
      </c>
      <c r="B53" s="5" t="s">
        <v>227</v>
      </c>
      <c r="C53" s="5" t="s">
        <v>951</v>
      </c>
      <c r="D53" s="5" t="s">
        <v>741</v>
      </c>
      <c r="E53" s="5" t="s">
        <v>952</v>
      </c>
      <c r="F53" s="5" t="n">
        <v>2</v>
      </c>
      <c r="G53" s="5"/>
      <c r="H53" s="5" t="s">
        <v>435</v>
      </c>
      <c r="I53" s="5" t="s">
        <v>744</v>
      </c>
      <c r="J53" s="5" t="n">
        <f aca="false">IFERROR(INDEX('Glider Types'!$F:$F,MATCH(D53,'Glider Types'!$A:$A,0)),"")</f>
        <v>23</v>
      </c>
      <c r="K53" s="5" t="n">
        <f aca="false">IFERROR(INDEX('Glider Types'!$G:$G,MATCH(D53,'Glider Types'!$A:$A,0)),"")</f>
        <v>39</v>
      </c>
      <c r="L53" s="5" t="n">
        <f aca="false">IFERROR(INDEX('Glider Types'!$H:$H,MATCH(D53,'Glider Types'!$A:$A,0)),"")</f>
        <v>185</v>
      </c>
      <c r="M53" s="5" t="n">
        <f aca="false">IFERROR(INDEX('Glider Types'!$I:$I,MATCH(D53,'Glider Types'!$A:$A,0)),"")</f>
        <v>85</v>
      </c>
      <c r="N53" s="13"/>
      <c r="O53" s="13"/>
      <c r="P53" s="13"/>
    </row>
    <row r="54" customFormat="false" ht="15" hidden="false" customHeight="false" outlineLevel="0" collapsed="false">
      <c r="A54" s="5" t="s">
        <v>226</v>
      </c>
      <c r="B54" s="5" t="s">
        <v>227</v>
      </c>
      <c r="C54" s="5" t="s">
        <v>953</v>
      </c>
      <c r="D54" s="5" t="s">
        <v>746</v>
      </c>
      <c r="E54" s="5" t="s">
        <v>954</v>
      </c>
      <c r="F54" s="5" t="n">
        <v>3</v>
      </c>
      <c r="G54" s="5"/>
      <c r="H54" s="5" t="s">
        <v>435</v>
      </c>
      <c r="I54" s="5" t="s">
        <v>744</v>
      </c>
      <c r="J54" s="5" t="n">
        <f aca="false">IFERROR(INDEX('Glider Types'!$F:$F,MATCH(D54,'Glider Types'!$A:$A,0)),"")</f>
        <v>34</v>
      </c>
      <c r="K54" s="5" t="n">
        <f aca="false">IFERROR(INDEX('Glider Types'!$G:$G,MATCH(D54,'Glider Types'!$A:$A,0)),"")</f>
        <v>51</v>
      </c>
      <c r="L54" s="5" t="n">
        <f aca="false">IFERROR(INDEX('Glider Types'!$H:$H,MATCH(D54,'Glider Types'!$A:$A,0)),"")</f>
        <v>144</v>
      </c>
      <c r="M54" s="5" t="n">
        <f aca="false">IFERROR(INDEX('Glider Types'!$I:$I,MATCH(D54,'Glider Types'!$A:$A,0)),"")</f>
        <v>137</v>
      </c>
      <c r="N54" s="13"/>
      <c r="O54" s="13"/>
      <c r="P54" s="13"/>
    </row>
    <row r="55" customFormat="false" ht="15" hidden="false" customHeight="false" outlineLevel="0" collapsed="false">
      <c r="A55" s="5" t="s">
        <v>226</v>
      </c>
      <c r="B55" s="5" t="s">
        <v>227</v>
      </c>
      <c r="C55" s="5" t="s">
        <v>879</v>
      </c>
      <c r="D55" s="5" t="s">
        <v>754</v>
      </c>
      <c r="E55" s="5" t="s">
        <v>955</v>
      </c>
      <c r="F55" s="5" t="n">
        <v>1</v>
      </c>
      <c r="G55" s="5"/>
      <c r="H55" s="5" t="s">
        <v>435</v>
      </c>
      <c r="I55" s="5" t="s">
        <v>936</v>
      </c>
      <c r="J55" s="5" t="n">
        <f aca="false">IFERROR(INDEX('Glider Types'!$F:$F,MATCH(D55,'Glider Types'!$A:$A,0)),"")</f>
        <v>23</v>
      </c>
      <c r="K55" s="5" t="n">
        <f aca="false">IFERROR(INDEX('Glider Types'!$G:$G,MATCH(D55,'Glider Types'!$A:$A,0)),"")</f>
        <v>46</v>
      </c>
      <c r="L55" s="5" t="n">
        <f aca="false">IFERROR(INDEX('Glider Types'!$H:$H,MATCH(D55,'Glider Types'!$A:$A,0)),"")</f>
        <v>161</v>
      </c>
      <c r="M55" s="5" t="n">
        <f aca="false">IFERROR(INDEX('Glider Types'!$I:$I,MATCH(D55,'Glider Types'!$A:$A,0)),"")</f>
        <v>99</v>
      </c>
      <c r="N55" s="13"/>
      <c r="O55" s="13"/>
      <c r="P55" s="13"/>
    </row>
    <row r="56" customFormat="false" ht="23.85" hidden="false" customHeight="false" outlineLevel="0" collapsed="false">
      <c r="A56" s="5" t="s">
        <v>195</v>
      </c>
      <c r="B56" s="5" t="s">
        <v>196</v>
      </c>
      <c r="C56" s="5" t="s">
        <v>956</v>
      </c>
      <c r="D56" s="5" t="s">
        <v>803</v>
      </c>
      <c r="E56" s="5" t="s">
        <v>957</v>
      </c>
      <c r="F56" s="5" t="n">
        <v>1</v>
      </c>
      <c r="G56" s="5" t="s">
        <v>938</v>
      </c>
      <c r="H56" s="5" t="s">
        <v>958</v>
      </c>
      <c r="I56" s="5" t="s">
        <v>959</v>
      </c>
      <c r="J56" s="5" t="n">
        <f aca="false">IFERROR(INDEX('Glider Types'!$F:$F,MATCH(D56,'Glider Types'!$A:$A,0)),"")</f>
        <v>37</v>
      </c>
      <c r="K56" s="5" t="n">
        <f aca="false">IFERROR(INDEX('Glider Types'!$G:$G,MATCH(D56,'Glider Types'!$A:$A,0)),"")</f>
        <v>51</v>
      </c>
      <c r="L56" s="5" t="n">
        <f aca="false">IFERROR(INDEX('Glider Types'!$H:$H,MATCH(D56,'Glider Types'!$A:$A,0)),"")</f>
        <v>122</v>
      </c>
      <c r="M56" s="5" t="n">
        <f aca="false">IFERROR(INDEX('Glider Types'!$I:$I,MATCH(D56,'Glider Types'!$A:$A,0)),"")</f>
        <v>135</v>
      </c>
      <c r="N56" s="13"/>
      <c r="O56" s="13"/>
      <c r="P56" s="13"/>
    </row>
    <row r="57" customFormat="false" ht="23.85" hidden="false" customHeight="false" outlineLevel="0" collapsed="false">
      <c r="A57" s="5" t="s">
        <v>195</v>
      </c>
      <c r="B57" s="5" t="s">
        <v>196</v>
      </c>
      <c r="C57" s="5" t="s">
        <v>949</v>
      </c>
      <c r="D57" s="5" t="s">
        <v>797</v>
      </c>
      <c r="E57" s="5" t="s">
        <v>960</v>
      </c>
      <c r="F57" s="5" t="n">
        <v>2</v>
      </c>
      <c r="G57" s="5" t="s">
        <v>938</v>
      </c>
      <c r="H57" s="5" t="s">
        <v>958</v>
      </c>
      <c r="I57" s="5" t="s">
        <v>930</v>
      </c>
      <c r="J57" s="5" t="n">
        <f aca="false">IFERROR(INDEX('Glider Types'!$F:$F,MATCH(D57,'Glider Types'!$A:$A,0)),"")</f>
        <v>36.5</v>
      </c>
      <c r="K57" s="5" t="n">
        <f aca="false">IFERROR(INDEX('Glider Types'!$G:$G,MATCH(D57,'Glider Types'!$A:$A,0)),"")</f>
        <v>57</v>
      </c>
      <c r="L57" s="5" t="n">
        <f aca="false">IFERROR(INDEX('Glider Types'!$H:$H,MATCH(D57,'Glider Types'!$A:$A,0)),"")</f>
        <v>122</v>
      </c>
      <c r="M57" s="5" t="n">
        <f aca="false">IFERROR(INDEX('Glider Types'!$I:$I,MATCH(D57,'Glider Types'!$A:$A,0)),"")</f>
        <v>135</v>
      </c>
      <c r="N57" s="13"/>
      <c r="O57" s="13"/>
      <c r="P57" s="13"/>
    </row>
    <row r="58" customFormat="false" ht="23.85" hidden="false" customHeight="false" outlineLevel="0" collapsed="false">
      <c r="A58" s="5" t="s">
        <v>195</v>
      </c>
      <c r="B58" s="5" t="s">
        <v>196</v>
      </c>
      <c r="C58" s="5" t="s">
        <v>949</v>
      </c>
      <c r="D58" s="5" t="s">
        <v>797</v>
      </c>
      <c r="E58" s="5" t="s">
        <v>961</v>
      </c>
      <c r="F58" s="5" t="n">
        <v>2</v>
      </c>
      <c r="G58" s="5" t="s">
        <v>938</v>
      </c>
      <c r="H58" s="5" t="s">
        <v>958</v>
      </c>
      <c r="I58" s="5" t="s">
        <v>930</v>
      </c>
      <c r="J58" s="5" t="n">
        <f aca="false">IFERROR(INDEX('Glider Types'!$F:$F,MATCH(D58,'Glider Types'!$A:$A,0)),"")</f>
        <v>36.5</v>
      </c>
      <c r="K58" s="5" t="n">
        <f aca="false">IFERROR(INDEX('Glider Types'!$G:$G,MATCH(D58,'Glider Types'!$A:$A,0)),"")</f>
        <v>57</v>
      </c>
      <c r="L58" s="5" t="n">
        <f aca="false">IFERROR(INDEX('Glider Types'!$H:$H,MATCH(D58,'Glider Types'!$A:$A,0)),"")</f>
        <v>122</v>
      </c>
      <c r="M58" s="5" t="n">
        <f aca="false">IFERROR(INDEX('Glider Types'!$I:$I,MATCH(D58,'Glider Types'!$A:$A,0)),"")</f>
        <v>135</v>
      </c>
      <c r="N58" s="13"/>
      <c r="O58" s="13"/>
      <c r="P58" s="13"/>
    </row>
    <row r="59" customFormat="false" ht="23.85" hidden="false" customHeight="false" outlineLevel="0" collapsed="false">
      <c r="A59" s="5" t="s">
        <v>195</v>
      </c>
      <c r="B59" s="5" t="s">
        <v>196</v>
      </c>
      <c r="C59" s="5" t="s">
        <v>802</v>
      </c>
      <c r="D59" s="5" t="s">
        <v>801</v>
      </c>
      <c r="E59" s="5" t="s">
        <v>962</v>
      </c>
      <c r="F59" s="5" t="n">
        <v>2</v>
      </c>
      <c r="G59" s="5" t="s">
        <v>938</v>
      </c>
      <c r="H59" s="5" t="s">
        <v>958</v>
      </c>
      <c r="I59" s="5"/>
      <c r="J59" s="5" t="n">
        <f aca="false">IFERROR(INDEX('Glider Types'!$F:$F,MATCH(D59,'Glider Types'!$A:$A,0)),"")</f>
        <v>38</v>
      </c>
      <c r="K59" s="5" t="n">
        <f aca="false">IFERROR(INDEX('Glider Types'!$G:$G,MATCH(D59,'Glider Types'!$A:$A,0)),"")</f>
        <v>57</v>
      </c>
      <c r="L59" s="5" t="n">
        <f aca="false">IFERROR(INDEX('Glider Types'!$H:$H,MATCH(D59,'Glider Types'!$A:$A,0)),"")</f>
        <v>118</v>
      </c>
      <c r="M59" s="5" t="n">
        <f aca="false">IFERROR(INDEX('Glider Types'!$I:$I,MATCH(D59,'Glider Types'!$A:$A,0)),"")</f>
        <v>140</v>
      </c>
      <c r="N59" s="13"/>
      <c r="O59" s="13"/>
      <c r="P59" s="13"/>
    </row>
    <row r="60" customFormat="false" ht="23.85" hidden="false" customHeight="false" outlineLevel="0" collapsed="false">
      <c r="A60" s="5" t="s">
        <v>178</v>
      </c>
      <c r="B60" s="5" t="s">
        <v>179</v>
      </c>
      <c r="C60" s="5" t="s">
        <v>963</v>
      </c>
      <c r="D60" s="5" t="s">
        <v>779</v>
      </c>
      <c r="E60" s="5" t="s">
        <v>964</v>
      </c>
      <c r="F60" s="5" t="n">
        <v>2</v>
      </c>
      <c r="G60" s="5" t="s">
        <v>965</v>
      </c>
      <c r="H60" s="5" t="s">
        <v>966</v>
      </c>
      <c r="I60" s="5" t="s">
        <v>967</v>
      </c>
      <c r="J60" s="5" t="n">
        <f aca="false">IFERROR(INDEX('Glider Types'!$F:$F,MATCH(D60,'Glider Types'!$A:$A,0)),"")</f>
        <v>34</v>
      </c>
      <c r="K60" s="5" t="n">
        <f aca="false">IFERROR(INDEX('Glider Types'!$G:$G,MATCH(D60,'Glider Types'!$A:$A,0)),"")</f>
        <v>49</v>
      </c>
      <c r="L60" s="5" t="n">
        <f aca="false">IFERROR(INDEX('Glider Types'!$H:$H,MATCH(D60,'Glider Types'!$A:$A,0)),"")</f>
        <v>128</v>
      </c>
      <c r="M60" s="5" t="n">
        <f aca="false">IFERROR(INDEX('Glider Types'!$I:$I,MATCH(D60,'Glider Types'!$A:$A,0)),"")</f>
        <v>151</v>
      </c>
      <c r="N60" s="13"/>
      <c r="O60" s="13"/>
      <c r="P60" s="13"/>
    </row>
    <row r="61" customFormat="false" ht="23.85" hidden="false" customHeight="false" outlineLevel="0" collapsed="false">
      <c r="A61" s="5" t="s">
        <v>178</v>
      </c>
      <c r="B61" s="5" t="s">
        <v>179</v>
      </c>
      <c r="C61" s="5" t="s">
        <v>821</v>
      </c>
      <c r="D61" s="5" t="s">
        <v>820</v>
      </c>
      <c r="E61" s="5" t="s">
        <v>968</v>
      </c>
      <c r="F61" s="5" t="n">
        <v>2</v>
      </c>
      <c r="G61" s="5" t="s">
        <v>965</v>
      </c>
      <c r="H61" s="5" t="s">
        <v>966</v>
      </c>
      <c r="I61" s="5" t="s">
        <v>823</v>
      </c>
      <c r="J61" s="5" t="n">
        <f aca="false">IFERROR(INDEX('Glider Types'!$F:$F,MATCH(D61,'Glider Types'!$A:$A,0)),"")</f>
        <v>45</v>
      </c>
      <c r="K61" s="5" t="n">
        <f aca="false">IFERROR(INDEX('Glider Types'!$G:$G,MATCH(D61,'Glider Types'!$A:$A,0)),"")</f>
        <v>54</v>
      </c>
      <c r="L61" s="5" t="n">
        <f aca="false">IFERROR(INDEX('Glider Types'!$H:$H,MATCH(D61,'Glider Types'!$A:$A,0)),"")</f>
        <v>108</v>
      </c>
      <c r="M61" s="5" t="n">
        <f aca="false">IFERROR(INDEX('Glider Types'!$I:$I,MATCH(D61,'Glider Types'!$A:$A,0)),"")</f>
        <v>135</v>
      </c>
      <c r="N61" s="13"/>
      <c r="O61" s="13"/>
      <c r="P61" s="13"/>
    </row>
    <row r="62" customFormat="false" ht="15" hidden="false" customHeight="false" outlineLevel="0" collapsed="false">
      <c r="A62" s="5" t="s">
        <v>178</v>
      </c>
      <c r="B62" s="5" t="s">
        <v>179</v>
      </c>
      <c r="C62" s="5" t="s">
        <v>818</v>
      </c>
      <c r="D62" s="5" t="s">
        <v>817</v>
      </c>
      <c r="E62" s="5" t="s">
        <v>969</v>
      </c>
      <c r="F62" s="5" t="n">
        <v>1</v>
      </c>
      <c r="G62" s="5" t="s">
        <v>965</v>
      </c>
      <c r="H62" s="5" t="s">
        <v>966</v>
      </c>
      <c r="I62" s="5"/>
      <c r="J62" s="5" t="n">
        <f aca="false">IFERROR(INDEX('Glider Types'!$F:$F,MATCH(D62,'Glider Types'!$A:$A,0)),"")</f>
        <v>42</v>
      </c>
      <c r="K62" s="5" t="n">
        <f aca="false">IFERROR(INDEX('Glider Types'!$G:$G,MATCH(D62,'Glider Types'!$A:$A,0)),"")</f>
        <v>54</v>
      </c>
      <c r="L62" s="5" t="n">
        <f aca="false">IFERROR(INDEX('Glider Types'!$H:$H,MATCH(D62,'Glider Types'!$A:$A,0)),"")</f>
        <v>116</v>
      </c>
      <c r="M62" s="5" t="n">
        <f aca="false">IFERROR(INDEX('Glider Types'!$I:$I,MATCH(D62,'Glider Types'!$A:$A,0)),"")</f>
        <v>135</v>
      </c>
      <c r="N62" s="13"/>
      <c r="O62" s="13"/>
      <c r="P62" s="13"/>
    </row>
    <row r="63" customFormat="false" ht="15" hidden="false" customHeight="false" outlineLevel="0" collapsed="false">
      <c r="A63" s="5" t="s">
        <v>178</v>
      </c>
      <c r="B63" s="5" t="s">
        <v>179</v>
      </c>
      <c r="C63" s="5" t="s">
        <v>875</v>
      </c>
      <c r="D63" s="5" t="s">
        <v>758</v>
      </c>
      <c r="E63" s="5" t="s">
        <v>970</v>
      </c>
      <c r="F63" s="5" t="n">
        <v>1</v>
      </c>
      <c r="G63" s="5"/>
      <c r="H63" s="5" t="s">
        <v>966</v>
      </c>
      <c r="I63" s="5"/>
      <c r="J63" s="5" t="n">
        <f aca="false">IFERROR(INDEX('Glider Types'!$F:$F,MATCH(D63,'Glider Types'!$A:$A,0)),"")</f>
        <v>34</v>
      </c>
      <c r="K63" s="5" t="n">
        <f aca="false">IFERROR(INDEX('Glider Types'!$G:$G,MATCH(D63,'Glider Types'!$A:$A,0)),"")</f>
        <v>46</v>
      </c>
      <c r="L63" s="5" t="n">
        <f aca="false">IFERROR(INDEX('Glider Types'!$H:$H,MATCH(D63,'Glider Types'!$A:$A,0)),"")</f>
        <v>132</v>
      </c>
      <c r="M63" s="5" t="n">
        <f aca="false">IFERROR(INDEX('Glider Types'!$I:$I,MATCH(D63,'Glider Types'!$A:$A,0)),"")</f>
        <v>114</v>
      </c>
      <c r="N63" s="13"/>
      <c r="O63" s="13"/>
      <c r="P63" s="13"/>
    </row>
    <row r="64" customFormat="false" ht="15" hidden="false" customHeight="false" outlineLevel="0" collapsed="false">
      <c r="A64" s="5" t="s">
        <v>178</v>
      </c>
      <c r="B64" s="5" t="s">
        <v>179</v>
      </c>
      <c r="C64" s="5" t="s">
        <v>971</v>
      </c>
      <c r="D64" s="5" t="s">
        <v>762</v>
      </c>
      <c r="E64" s="5" t="s">
        <v>972</v>
      </c>
      <c r="F64" s="5" t="n">
        <v>1</v>
      </c>
      <c r="G64" s="5"/>
      <c r="H64" s="5" t="s">
        <v>966</v>
      </c>
      <c r="I64" s="5"/>
      <c r="J64" s="5" t="n">
        <f aca="false">IFERROR(INDEX('Glider Types'!$F:$F,MATCH(D64,'Glider Types'!$A:$A,0)),"")</f>
        <v>38</v>
      </c>
      <c r="K64" s="5" t="n">
        <f aca="false">IFERROR(INDEX('Glider Types'!$G:$G,MATCH(D64,'Glider Types'!$A:$A,0)),"")</f>
        <v>52</v>
      </c>
      <c r="L64" s="5" t="n">
        <f aca="false">IFERROR(INDEX('Glider Types'!$H:$H,MATCH(D64,'Glider Types'!$A:$A,0)),"")</f>
        <v>120</v>
      </c>
      <c r="M64" s="5" t="n">
        <f aca="false">IFERROR(INDEX('Glider Types'!$I:$I,MATCH(D64,'Glider Types'!$A:$A,0)),"")</f>
        <v>130</v>
      </c>
      <c r="N64" s="13"/>
      <c r="O64" s="13"/>
      <c r="P64" s="13"/>
    </row>
    <row r="65" customFormat="false" ht="15" hidden="false" customHeight="false" outlineLevel="0" collapsed="false">
      <c r="A65" s="5" t="s">
        <v>178</v>
      </c>
      <c r="B65" s="5" t="s">
        <v>179</v>
      </c>
      <c r="C65" s="5" t="s">
        <v>973</v>
      </c>
      <c r="D65" s="5" t="s">
        <v>754</v>
      </c>
      <c r="E65" s="5" t="s">
        <v>974</v>
      </c>
      <c r="F65" s="5" t="n">
        <v>1</v>
      </c>
      <c r="G65" s="5"/>
      <c r="H65" s="5" t="s">
        <v>966</v>
      </c>
      <c r="I65" s="5" t="s">
        <v>936</v>
      </c>
      <c r="J65" s="5" t="n">
        <f aca="false">IFERROR(INDEX('Glider Types'!$F:$F,MATCH(D65,'Glider Types'!$A:$A,0)),"")</f>
        <v>23</v>
      </c>
      <c r="K65" s="5" t="n">
        <f aca="false">IFERROR(INDEX('Glider Types'!$G:$G,MATCH(D65,'Glider Types'!$A:$A,0)),"")</f>
        <v>46</v>
      </c>
      <c r="L65" s="5" t="n">
        <f aca="false">IFERROR(INDEX('Glider Types'!$H:$H,MATCH(D65,'Glider Types'!$A:$A,0)),"")</f>
        <v>161</v>
      </c>
      <c r="M65" s="5" t="n">
        <f aca="false">IFERROR(INDEX('Glider Types'!$I:$I,MATCH(D65,'Glider Types'!$A:$A,0)),"")</f>
        <v>99</v>
      </c>
      <c r="N65" s="13"/>
      <c r="O65" s="13"/>
      <c r="P65" s="13"/>
    </row>
    <row r="66" customFormat="false" ht="23.85" hidden="false" customHeight="false" outlineLevel="0" collapsed="false">
      <c r="A66" s="5" t="s">
        <v>178</v>
      </c>
      <c r="B66" s="5" t="s">
        <v>179</v>
      </c>
      <c r="C66" s="5" t="s">
        <v>951</v>
      </c>
      <c r="D66" s="5" t="s">
        <v>741</v>
      </c>
      <c r="E66" s="5" t="s">
        <v>975</v>
      </c>
      <c r="F66" s="5" t="n">
        <v>2</v>
      </c>
      <c r="G66" s="5" t="s">
        <v>965</v>
      </c>
      <c r="H66" s="5" t="s">
        <v>966</v>
      </c>
      <c r="I66" s="5" t="s">
        <v>744</v>
      </c>
      <c r="J66" s="5" t="n">
        <f aca="false">IFERROR(INDEX('Glider Types'!$F:$F,MATCH(D66,'Glider Types'!$A:$A,0)),"")</f>
        <v>23</v>
      </c>
      <c r="K66" s="5" t="n">
        <f aca="false">IFERROR(INDEX('Glider Types'!$G:$G,MATCH(D66,'Glider Types'!$A:$A,0)),"")</f>
        <v>39</v>
      </c>
      <c r="L66" s="5" t="n">
        <f aca="false">IFERROR(INDEX('Glider Types'!$H:$H,MATCH(D66,'Glider Types'!$A:$A,0)),"")</f>
        <v>185</v>
      </c>
      <c r="M66" s="5" t="n">
        <f aca="false">IFERROR(INDEX('Glider Types'!$I:$I,MATCH(D66,'Glider Types'!$A:$A,0)),"")</f>
        <v>85</v>
      </c>
      <c r="N66" s="13"/>
      <c r="O66" s="13"/>
      <c r="P66" s="13"/>
    </row>
    <row r="67" customFormat="false" ht="15" hidden="false" customHeight="false" outlineLevel="0" collapsed="false">
      <c r="A67" s="5" t="s">
        <v>216</v>
      </c>
      <c r="B67" s="5" t="s">
        <v>217</v>
      </c>
      <c r="C67" s="5" t="s">
        <v>780</v>
      </c>
      <c r="D67" s="5" t="s">
        <v>779</v>
      </c>
      <c r="E67" s="5" t="s">
        <v>976</v>
      </c>
      <c r="F67" s="5" t="n">
        <v>2</v>
      </c>
      <c r="G67" s="5"/>
      <c r="H67" s="5" t="s">
        <v>864</v>
      </c>
      <c r="I67" s="5"/>
      <c r="J67" s="5" t="n">
        <f aca="false">IFERROR(INDEX('Glider Types'!$F:$F,MATCH(D67,'Glider Types'!$A:$A,0)),"")</f>
        <v>34</v>
      </c>
      <c r="K67" s="5" t="n">
        <f aca="false">IFERROR(INDEX('Glider Types'!$G:$G,MATCH(D67,'Glider Types'!$A:$A,0)),"")</f>
        <v>49</v>
      </c>
      <c r="L67" s="5" t="n">
        <f aca="false">IFERROR(INDEX('Glider Types'!$H:$H,MATCH(D67,'Glider Types'!$A:$A,0)),"")</f>
        <v>128</v>
      </c>
      <c r="M67" s="5" t="n">
        <f aca="false">IFERROR(INDEX('Glider Types'!$I:$I,MATCH(D67,'Glider Types'!$A:$A,0)),"")</f>
        <v>151</v>
      </c>
      <c r="N67" s="13"/>
      <c r="O67" s="13"/>
      <c r="P67" s="13"/>
    </row>
    <row r="68" customFormat="false" ht="15" hidden="false" customHeight="false" outlineLevel="0" collapsed="false">
      <c r="A68" s="5" t="s">
        <v>216</v>
      </c>
      <c r="B68" s="5" t="s">
        <v>217</v>
      </c>
      <c r="C68" s="5" t="s">
        <v>956</v>
      </c>
      <c r="D68" s="5" t="s">
        <v>803</v>
      </c>
      <c r="E68" s="5" t="s">
        <v>977</v>
      </c>
      <c r="F68" s="5" t="n">
        <v>1</v>
      </c>
      <c r="G68" s="5"/>
      <c r="H68" s="5" t="s">
        <v>864</v>
      </c>
      <c r="I68" s="5" t="s">
        <v>744</v>
      </c>
      <c r="J68" s="5" t="n">
        <f aca="false">IFERROR(INDEX('Glider Types'!$F:$F,MATCH(D68,'Glider Types'!$A:$A,0)),"")</f>
        <v>37</v>
      </c>
      <c r="K68" s="5" t="n">
        <f aca="false">IFERROR(INDEX('Glider Types'!$G:$G,MATCH(D68,'Glider Types'!$A:$A,0)),"")</f>
        <v>51</v>
      </c>
      <c r="L68" s="5" t="n">
        <f aca="false">IFERROR(INDEX('Glider Types'!$H:$H,MATCH(D68,'Glider Types'!$A:$A,0)),"")</f>
        <v>122</v>
      </c>
      <c r="M68" s="5" t="n">
        <f aca="false">IFERROR(INDEX('Glider Types'!$I:$I,MATCH(D68,'Glider Types'!$A:$A,0)),"")</f>
        <v>135</v>
      </c>
      <c r="N68" s="13"/>
      <c r="O68" s="13"/>
      <c r="P68" s="13"/>
    </row>
    <row r="69" customFormat="false" ht="23.85" hidden="false" customHeight="false" outlineLevel="0" collapsed="false">
      <c r="A69" s="5" t="s">
        <v>216</v>
      </c>
      <c r="B69" s="5" t="s">
        <v>217</v>
      </c>
      <c r="C69" s="5" t="s">
        <v>978</v>
      </c>
      <c r="D69" s="5" t="s">
        <v>835</v>
      </c>
      <c r="E69" s="5" t="s">
        <v>979</v>
      </c>
      <c r="F69" s="5" t="n">
        <v>1</v>
      </c>
      <c r="G69" s="5"/>
      <c r="H69" s="5" t="s">
        <v>864</v>
      </c>
      <c r="I69" s="5"/>
      <c r="J69" s="5" t="n">
        <f aca="false">IFERROR(INDEX('Glider Types'!$F:$F,MATCH(D69,'Glider Types'!$A:$A,0)),"")</f>
        <v>41</v>
      </c>
      <c r="K69" s="5" t="n">
        <f aca="false">IFERROR(INDEX('Glider Types'!$G:$G,MATCH(D69,'Glider Types'!$A:$A,0)),"")</f>
        <v>54</v>
      </c>
      <c r="L69" s="5" t="n">
        <f aca="false">IFERROR(INDEX('Glider Types'!$H:$H,MATCH(D69,'Glider Types'!$A:$A,0)),"")</f>
        <v>118</v>
      </c>
      <c r="M69" s="5" t="n">
        <f aca="false">IFERROR(INDEX('Glider Types'!$I:$I,MATCH(D69,'Glider Types'!$A:$A,0)),"")</f>
        <v>135</v>
      </c>
      <c r="N69" s="13"/>
      <c r="O69" s="13"/>
      <c r="P69" s="13"/>
    </row>
    <row r="70" customFormat="false" ht="23.85" hidden="false" customHeight="false" outlineLevel="0" collapsed="false">
      <c r="A70" s="5" t="s">
        <v>216</v>
      </c>
      <c r="B70" s="5" t="s">
        <v>217</v>
      </c>
      <c r="C70" s="5" t="s">
        <v>980</v>
      </c>
      <c r="D70" s="5" t="s">
        <v>754</v>
      </c>
      <c r="E70" s="5" t="s">
        <v>981</v>
      </c>
      <c r="F70" s="5" t="n">
        <v>1</v>
      </c>
      <c r="G70" s="5"/>
      <c r="H70" s="5" t="s">
        <v>864</v>
      </c>
      <c r="I70" s="5" t="s">
        <v>982</v>
      </c>
      <c r="J70" s="5" t="n">
        <f aca="false">IFERROR(INDEX('Glider Types'!$F:$F,MATCH(D70,'Glider Types'!$A:$A,0)),"")</f>
        <v>23</v>
      </c>
      <c r="K70" s="5" t="n">
        <f aca="false">IFERROR(INDEX('Glider Types'!$G:$G,MATCH(D70,'Glider Types'!$A:$A,0)),"")</f>
        <v>46</v>
      </c>
      <c r="L70" s="5" t="n">
        <f aca="false">IFERROR(INDEX('Glider Types'!$H:$H,MATCH(D70,'Glider Types'!$A:$A,0)),"")</f>
        <v>161</v>
      </c>
      <c r="M70" s="5" t="n">
        <f aca="false">IFERROR(INDEX('Glider Types'!$I:$I,MATCH(D70,'Glider Types'!$A:$A,0)),"")</f>
        <v>99</v>
      </c>
      <c r="N70" s="13"/>
      <c r="O70" s="13"/>
      <c r="P70" s="13"/>
    </row>
    <row r="71" customFormat="false" ht="15" hidden="false" customHeight="false" outlineLevel="0" collapsed="false">
      <c r="A71" s="5" t="s">
        <v>216</v>
      </c>
      <c r="B71" s="5" t="s">
        <v>217</v>
      </c>
      <c r="C71" s="5" t="s">
        <v>867</v>
      </c>
      <c r="D71" s="5" t="s">
        <v>741</v>
      </c>
      <c r="E71" s="5" t="s">
        <v>983</v>
      </c>
      <c r="F71" s="5" t="n">
        <v>2</v>
      </c>
      <c r="G71" s="5"/>
      <c r="H71" s="5" t="s">
        <v>864</v>
      </c>
      <c r="I71" s="5" t="s">
        <v>744</v>
      </c>
      <c r="J71" s="5" t="n">
        <f aca="false">IFERROR(INDEX('Glider Types'!$F:$F,MATCH(D71,'Glider Types'!$A:$A,0)),"")</f>
        <v>23</v>
      </c>
      <c r="K71" s="5" t="n">
        <f aca="false">IFERROR(INDEX('Glider Types'!$G:$G,MATCH(D71,'Glider Types'!$A:$A,0)),"")</f>
        <v>39</v>
      </c>
      <c r="L71" s="5" t="n">
        <f aca="false">IFERROR(INDEX('Glider Types'!$H:$H,MATCH(D71,'Glider Types'!$A:$A,0)),"")</f>
        <v>185</v>
      </c>
      <c r="M71" s="5" t="n">
        <f aca="false">IFERROR(INDEX('Glider Types'!$I:$I,MATCH(D71,'Glider Types'!$A:$A,0)),"")</f>
        <v>85</v>
      </c>
      <c r="N71" s="13"/>
      <c r="O71" s="13"/>
      <c r="P71" s="13"/>
    </row>
    <row r="72" customFormat="false" ht="15" hidden="false" customHeight="false" outlineLevel="0" collapsed="false">
      <c r="A72" s="5" t="s">
        <v>244</v>
      </c>
      <c r="B72" s="5" t="s">
        <v>245</v>
      </c>
      <c r="C72" s="5" t="s">
        <v>780</v>
      </c>
      <c r="D72" s="5" t="s">
        <v>779</v>
      </c>
      <c r="E72" s="5" t="s">
        <v>984</v>
      </c>
      <c r="F72" s="5" t="n">
        <v>2</v>
      </c>
      <c r="G72" s="5"/>
      <c r="H72" s="5" t="s">
        <v>864</v>
      </c>
      <c r="I72" s="5"/>
      <c r="J72" s="5" t="n">
        <f aca="false">IFERROR(INDEX('Glider Types'!$F:$F,MATCH(D72,'Glider Types'!$A:$A,0)),"")</f>
        <v>34</v>
      </c>
      <c r="K72" s="5" t="n">
        <f aca="false">IFERROR(INDEX('Glider Types'!$G:$G,MATCH(D72,'Glider Types'!$A:$A,0)),"")</f>
        <v>49</v>
      </c>
      <c r="L72" s="5" t="n">
        <f aca="false">IFERROR(INDEX('Glider Types'!$H:$H,MATCH(D72,'Glider Types'!$A:$A,0)),"")</f>
        <v>128</v>
      </c>
      <c r="M72" s="5" t="n">
        <f aca="false">IFERROR(INDEX('Glider Types'!$I:$I,MATCH(D72,'Glider Types'!$A:$A,0)),"")</f>
        <v>151</v>
      </c>
      <c r="N72" s="13"/>
      <c r="O72" s="13"/>
      <c r="P72" s="13"/>
    </row>
    <row r="73" customFormat="false" ht="23.85" hidden="false" customHeight="false" outlineLevel="0" collapsed="false">
      <c r="A73" s="5" t="s">
        <v>244</v>
      </c>
      <c r="B73" s="5" t="s">
        <v>245</v>
      </c>
      <c r="C73" s="5" t="s">
        <v>985</v>
      </c>
      <c r="D73" s="5" t="s">
        <v>741</v>
      </c>
      <c r="E73" s="5" t="s">
        <v>986</v>
      </c>
      <c r="F73" s="5" t="n">
        <v>2</v>
      </c>
      <c r="G73" s="5"/>
      <c r="H73" s="5" t="s">
        <v>864</v>
      </c>
      <c r="I73" s="5" t="s">
        <v>744</v>
      </c>
      <c r="J73" s="5" t="n">
        <f aca="false">IFERROR(INDEX('Glider Types'!$F:$F,MATCH(D73,'Glider Types'!$A:$A,0)),"")</f>
        <v>23</v>
      </c>
      <c r="K73" s="5" t="n">
        <f aca="false">IFERROR(INDEX('Glider Types'!$G:$G,MATCH(D73,'Glider Types'!$A:$A,0)),"")</f>
        <v>39</v>
      </c>
      <c r="L73" s="5" t="n">
        <f aca="false">IFERROR(INDEX('Glider Types'!$H:$H,MATCH(D73,'Glider Types'!$A:$A,0)),"")</f>
        <v>185</v>
      </c>
      <c r="M73" s="5" t="n">
        <f aca="false">IFERROR(INDEX('Glider Types'!$I:$I,MATCH(D73,'Glider Types'!$A:$A,0)),"")</f>
        <v>85</v>
      </c>
      <c r="N73" s="13"/>
      <c r="O73" s="13"/>
      <c r="P73" s="13"/>
    </row>
    <row r="74" customFormat="false" ht="15" hidden="false" customHeight="false" outlineLevel="0" collapsed="false">
      <c r="A74" s="5" t="s">
        <v>244</v>
      </c>
      <c r="B74" s="5" t="s">
        <v>245</v>
      </c>
      <c r="C74" s="5" t="s">
        <v>875</v>
      </c>
      <c r="D74" s="5" t="s">
        <v>758</v>
      </c>
      <c r="E74" s="5" t="s">
        <v>987</v>
      </c>
      <c r="F74" s="5" t="n">
        <v>1</v>
      </c>
      <c r="G74" s="5"/>
      <c r="H74" s="5" t="s">
        <v>864</v>
      </c>
      <c r="I74" s="5"/>
      <c r="J74" s="5" t="n">
        <f aca="false">IFERROR(INDEX('Glider Types'!$F:$F,MATCH(D74,'Glider Types'!$A:$A,0)),"")</f>
        <v>34</v>
      </c>
      <c r="K74" s="5" t="n">
        <f aca="false">IFERROR(INDEX('Glider Types'!$G:$G,MATCH(D74,'Glider Types'!$A:$A,0)),"")</f>
        <v>46</v>
      </c>
      <c r="L74" s="5" t="n">
        <f aca="false">IFERROR(INDEX('Glider Types'!$H:$H,MATCH(D74,'Glider Types'!$A:$A,0)),"")</f>
        <v>132</v>
      </c>
      <c r="M74" s="5" t="n">
        <f aca="false">IFERROR(INDEX('Glider Types'!$I:$I,MATCH(D74,'Glider Types'!$A:$A,0)),"")</f>
        <v>114</v>
      </c>
      <c r="N74" s="13"/>
      <c r="O74" s="13"/>
      <c r="P74" s="13"/>
    </row>
    <row r="75" customFormat="false" ht="15" hidden="false" customHeight="false" outlineLevel="0" collapsed="false">
      <c r="A75" s="5" t="s">
        <v>244</v>
      </c>
      <c r="B75" s="5" t="s">
        <v>245</v>
      </c>
      <c r="C75" s="5" t="s">
        <v>879</v>
      </c>
      <c r="D75" s="5" t="s">
        <v>754</v>
      </c>
      <c r="E75" s="5" t="s">
        <v>988</v>
      </c>
      <c r="F75" s="5" t="n">
        <v>1</v>
      </c>
      <c r="G75" s="5"/>
      <c r="H75" s="5" t="s">
        <v>864</v>
      </c>
      <c r="I75" s="5"/>
      <c r="J75" s="5" t="n">
        <f aca="false">IFERROR(INDEX('Glider Types'!$F:$F,MATCH(D75,'Glider Types'!$A:$A,0)),"")</f>
        <v>23</v>
      </c>
      <c r="K75" s="5" t="n">
        <f aca="false">IFERROR(INDEX('Glider Types'!$G:$G,MATCH(D75,'Glider Types'!$A:$A,0)),"")</f>
        <v>46</v>
      </c>
      <c r="L75" s="5" t="n">
        <f aca="false">IFERROR(INDEX('Glider Types'!$H:$H,MATCH(D75,'Glider Types'!$A:$A,0)),"")</f>
        <v>161</v>
      </c>
      <c r="M75" s="5" t="n">
        <f aca="false">IFERROR(INDEX('Glider Types'!$I:$I,MATCH(D75,'Glider Types'!$A:$A,0)),"")</f>
        <v>99</v>
      </c>
      <c r="N75" s="13"/>
      <c r="O75" s="13"/>
      <c r="P75" s="13"/>
    </row>
    <row r="76" customFormat="false" ht="23.85" hidden="false" customHeight="false" outlineLevel="0" collapsed="false">
      <c r="A76" s="5" t="s">
        <v>263</v>
      </c>
      <c r="B76" s="5" t="s">
        <v>264</v>
      </c>
      <c r="C76" s="5" t="s">
        <v>951</v>
      </c>
      <c r="D76" s="5" t="s">
        <v>741</v>
      </c>
      <c r="E76" s="5" t="s">
        <v>989</v>
      </c>
      <c r="F76" s="5" t="n">
        <v>2</v>
      </c>
      <c r="G76" s="5"/>
      <c r="H76" s="5" t="s">
        <v>864</v>
      </c>
      <c r="I76" s="5" t="s">
        <v>744</v>
      </c>
      <c r="J76" s="5" t="n">
        <f aca="false">IFERROR(INDEX('Glider Types'!$F:$F,MATCH(D76,'Glider Types'!$A:$A,0)),"")</f>
        <v>23</v>
      </c>
      <c r="K76" s="5" t="n">
        <f aca="false">IFERROR(INDEX('Glider Types'!$G:$G,MATCH(D76,'Glider Types'!$A:$A,0)),"")</f>
        <v>39</v>
      </c>
      <c r="L76" s="5" t="n">
        <f aca="false">IFERROR(INDEX('Glider Types'!$H:$H,MATCH(D76,'Glider Types'!$A:$A,0)),"")</f>
        <v>185</v>
      </c>
      <c r="M76" s="5" t="n">
        <f aca="false">IFERROR(INDEX('Glider Types'!$I:$I,MATCH(D76,'Glider Types'!$A:$A,0)),"")</f>
        <v>85</v>
      </c>
      <c r="N76" s="13"/>
      <c r="O76" s="13"/>
      <c r="P76" s="13"/>
    </row>
    <row r="77" customFormat="false" ht="23.85" hidden="false" customHeight="false" outlineLevel="0" collapsed="false">
      <c r="A77" s="5" t="s">
        <v>263</v>
      </c>
      <c r="B77" s="5" t="s">
        <v>264</v>
      </c>
      <c r="C77" s="5" t="s">
        <v>875</v>
      </c>
      <c r="D77" s="5" t="s">
        <v>758</v>
      </c>
      <c r="E77" s="5" t="s">
        <v>990</v>
      </c>
      <c r="F77" s="5" t="n">
        <v>1</v>
      </c>
      <c r="G77" s="5"/>
      <c r="H77" s="5" t="s">
        <v>864</v>
      </c>
      <c r="I77" s="5"/>
      <c r="J77" s="5" t="n">
        <f aca="false">IFERROR(INDEX('Glider Types'!$F:$F,MATCH(D77,'Glider Types'!$A:$A,0)),"")</f>
        <v>34</v>
      </c>
      <c r="K77" s="5" t="n">
        <f aca="false">IFERROR(INDEX('Glider Types'!$G:$G,MATCH(D77,'Glider Types'!$A:$A,0)),"")</f>
        <v>46</v>
      </c>
      <c r="L77" s="5" t="n">
        <f aca="false">IFERROR(INDEX('Glider Types'!$H:$H,MATCH(D77,'Glider Types'!$A:$A,0)),"")</f>
        <v>132</v>
      </c>
      <c r="M77" s="5" t="n">
        <f aca="false">IFERROR(INDEX('Glider Types'!$I:$I,MATCH(D77,'Glider Types'!$A:$A,0)),"")</f>
        <v>114</v>
      </c>
      <c r="N77" s="13"/>
      <c r="O77" s="13"/>
      <c r="P77" s="13"/>
    </row>
    <row r="78" customFormat="false" ht="23.85" hidden="false" customHeight="false" outlineLevel="0" collapsed="false">
      <c r="A78" s="5" t="s">
        <v>263</v>
      </c>
      <c r="B78" s="5" t="s">
        <v>264</v>
      </c>
      <c r="C78" s="5" t="s">
        <v>879</v>
      </c>
      <c r="D78" s="5" t="s">
        <v>754</v>
      </c>
      <c r="E78" s="5" t="s">
        <v>991</v>
      </c>
      <c r="F78" s="5" t="n">
        <v>1</v>
      </c>
      <c r="G78" s="5"/>
      <c r="H78" s="5" t="s">
        <v>864</v>
      </c>
      <c r="I78" s="5"/>
      <c r="J78" s="5" t="n">
        <f aca="false">IFERROR(INDEX('Glider Types'!$F:$F,MATCH(D78,'Glider Types'!$A:$A,0)),"")</f>
        <v>23</v>
      </c>
      <c r="K78" s="5" t="n">
        <f aca="false">IFERROR(INDEX('Glider Types'!$G:$G,MATCH(D78,'Glider Types'!$A:$A,0)),"")</f>
        <v>46</v>
      </c>
      <c r="L78" s="5" t="n">
        <f aca="false">IFERROR(INDEX('Glider Types'!$H:$H,MATCH(D78,'Glider Types'!$A:$A,0)),"")</f>
        <v>161</v>
      </c>
      <c r="M78" s="5" t="n">
        <f aca="false">IFERROR(INDEX('Glider Types'!$I:$I,MATCH(D78,'Glider Types'!$A:$A,0)),"")</f>
        <v>99</v>
      </c>
      <c r="N78" s="13"/>
      <c r="O78" s="13"/>
      <c r="P78" s="13"/>
    </row>
    <row r="79" customFormat="false" ht="23.85" hidden="false" customHeight="false" outlineLevel="0" collapsed="false">
      <c r="A79" s="5" t="s">
        <v>167</v>
      </c>
      <c r="B79" s="5" t="s">
        <v>168</v>
      </c>
      <c r="C79" s="5" t="s">
        <v>886</v>
      </c>
      <c r="D79" s="5" t="s">
        <v>741</v>
      </c>
      <c r="E79" s="5" t="s">
        <v>870</v>
      </c>
      <c r="F79" s="5" t="n">
        <v>2</v>
      </c>
      <c r="G79" s="5" t="s">
        <v>992</v>
      </c>
      <c r="H79" s="5" t="s">
        <v>883</v>
      </c>
      <c r="I79" s="5" t="s">
        <v>744</v>
      </c>
      <c r="J79" s="5" t="n">
        <f aca="false">IFERROR(INDEX('Glider Types'!$F:$F,MATCH(D79,'Glider Types'!$A:$A,0)),"")</f>
        <v>23</v>
      </c>
      <c r="K79" s="5" t="n">
        <f aca="false">IFERROR(INDEX('Glider Types'!$G:$G,MATCH(D79,'Glider Types'!$A:$A,0)),"")</f>
        <v>39</v>
      </c>
      <c r="L79" s="5" t="n">
        <f aca="false">IFERROR(INDEX('Glider Types'!$H:$H,MATCH(D79,'Glider Types'!$A:$A,0)),"")</f>
        <v>185</v>
      </c>
      <c r="M79" s="5" t="n">
        <f aca="false">IFERROR(INDEX('Glider Types'!$I:$I,MATCH(D79,'Glider Types'!$A:$A,0)),"")</f>
        <v>85</v>
      </c>
      <c r="N79" s="13"/>
      <c r="O79" s="13"/>
      <c r="P79" s="13"/>
    </row>
    <row r="80" customFormat="false" ht="23.85" hidden="false" customHeight="false" outlineLevel="0" collapsed="false">
      <c r="A80" s="5" t="s">
        <v>167</v>
      </c>
      <c r="B80" s="5" t="s">
        <v>168</v>
      </c>
      <c r="C80" s="5" t="s">
        <v>953</v>
      </c>
      <c r="D80" s="5" t="s">
        <v>746</v>
      </c>
      <c r="E80" s="5" t="s">
        <v>870</v>
      </c>
      <c r="F80" s="5" t="n">
        <v>3</v>
      </c>
      <c r="G80" s="5" t="s">
        <v>992</v>
      </c>
      <c r="H80" s="5" t="s">
        <v>883</v>
      </c>
      <c r="I80" s="5" t="s">
        <v>744</v>
      </c>
      <c r="J80" s="5" t="n">
        <f aca="false">IFERROR(INDEX('Glider Types'!$F:$F,MATCH(D80,'Glider Types'!$A:$A,0)),"")</f>
        <v>34</v>
      </c>
      <c r="K80" s="5" t="n">
        <f aca="false">IFERROR(INDEX('Glider Types'!$G:$G,MATCH(D80,'Glider Types'!$A:$A,0)),"")</f>
        <v>51</v>
      </c>
      <c r="L80" s="5" t="n">
        <f aca="false">IFERROR(INDEX('Glider Types'!$H:$H,MATCH(D80,'Glider Types'!$A:$A,0)),"")</f>
        <v>144</v>
      </c>
      <c r="M80" s="5" t="n">
        <f aca="false">IFERROR(INDEX('Glider Types'!$I:$I,MATCH(D80,'Glider Types'!$A:$A,0)),"")</f>
        <v>137</v>
      </c>
      <c r="N80" s="13"/>
      <c r="O80" s="13"/>
      <c r="P80" s="13"/>
    </row>
    <row r="81" customFormat="false" ht="15" hidden="false" customHeight="false" outlineLevel="0" collapsed="false">
      <c r="A81" s="5" t="s">
        <v>258</v>
      </c>
      <c r="B81" s="5" t="s">
        <v>259</v>
      </c>
      <c r="C81" s="5" t="s">
        <v>867</v>
      </c>
      <c r="D81" s="5" t="s">
        <v>741</v>
      </c>
      <c r="E81" s="5" t="s">
        <v>993</v>
      </c>
      <c r="F81" s="5" t="n">
        <v>2</v>
      </c>
      <c r="G81" s="5" t="s">
        <v>938</v>
      </c>
      <c r="H81" s="5" t="s">
        <v>864</v>
      </c>
      <c r="I81" s="5"/>
      <c r="J81" s="5" t="n">
        <f aca="false">IFERROR(INDEX('Glider Types'!$F:$F,MATCH(D81,'Glider Types'!$A:$A,0)),"")</f>
        <v>23</v>
      </c>
      <c r="K81" s="5" t="n">
        <f aca="false">IFERROR(INDEX('Glider Types'!$G:$G,MATCH(D81,'Glider Types'!$A:$A,0)),"")</f>
        <v>39</v>
      </c>
      <c r="L81" s="5" t="n">
        <f aca="false">IFERROR(INDEX('Glider Types'!$H:$H,MATCH(D81,'Glider Types'!$A:$A,0)),"")</f>
        <v>185</v>
      </c>
      <c r="M81" s="5" t="n">
        <f aca="false">IFERROR(INDEX('Glider Types'!$I:$I,MATCH(D81,'Glider Types'!$A:$A,0)),"")</f>
        <v>85</v>
      </c>
      <c r="N81" s="13"/>
      <c r="O81" s="13"/>
      <c r="P81" s="13"/>
    </row>
    <row r="82" customFormat="false" ht="15" hidden="false" customHeight="false" outlineLevel="0" collapsed="false">
      <c r="A82" s="5" t="s">
        <v>258</v>
      </c>
      <c r="B82" s="5" t="s">
        <v>259</v>
      </c>
      <c r="C82" s="5" t="s">
        <v>994</v>
      </c>
      <c r="D82" s="5" t="s">
        <v>754</v>
      </c>
      <c r="E82" s="5" t="s">
        <v>995</v>
      </c>
      <c r="F82" s="5" t="n">
        <v>1</v>
      </c>
      <c r="G82" s="5" t="s">
        <v>938</v>
      </c>
      <c r="H82" s="5" t="s">
        <v>864</v>
      </c>
      <c r="I82" s="5"/>
      <c r="J82" s="5" t="n">
        <f aca="false">IFERROR(INDEX('Glider Types'!$F:$F,MATCH(D82,'Glider Types'!$A:$A,0)),"")</f>
        <v>23</v>
      </c>
      <c r="K82" s="5" t="n">
        <f aca="false">IFERROR(INDEX('Glider Types'!$G:$G,MATCH(D82,'Glider Types'!$A:$A,0)),"")</f>
        <v>46</v>
      </c>
      <c r="L82" s="5" t="n">
        <f aca="false">IFERROR(INDEX('Glider Types'!$H:$H,MATCH(D82,'Glider Types'!$A:$A,0)),"")</f>
        <v>161</v>
      </c>
      <c r="M82" s="5" t="n">
        <f aca="false">IFERROR(INDEX('Glider Types'!$I:$I,MATCH(D82,'Glider Types'!$A:$A,0)),"")</f>
        <v>99</v>
      </c>
      <c r="N82" s="13"/>
      <c r="O82" s="13"/>
      <c r="P82" s="13"/>
    </row>
    <row r="83" customFormat="false" ht="15" hidden="false" customHeight="false" outlineLevel="0" collapsed="false">
      <c r="A83" s="5" t="s">
        <v>258</v>
      </c>
      <c r="B83" s="5" t="s">
        <v>259</v>
      </c>
      <c r="C83" s="5" t="s">
        <v>875</v>
      </c>
      <c r="D83" s="5" t="s">
        <v>758</v>
      </c>
      <c r="E83" s="5" t="s">
        <v>996</v>
      </c>
      <c r="F83" s="5" t="n">
        <v>1</v>
      </c>
      <c r="G83" s="5" t="s">
        <v>938</v>
      </c>
      <c r="H83" s="5" t="s">
        <v>864</v>
      </c>
      <c r="I83" s="5"/>
      <c r="J83" s="5" t="n">
        <f aca="false">IFERROR(INDEX('Glider Types'!$F:$F,MATCH(D83,'Glider Types'!$A:$A,0)),"")</f>
        <v>34</v>
      </c>
      <c r="K83" s="5" t="n">
        <f aca="false">IFERROR(INDEX('Glider Types'!$G:$G,MATCH(D83,'Glider Types'!$A:$A,0)),"")</f>
        <v>46</v>
      </c>
      <c r="L83" s="5" t="n">
        <f aca="false">IFERROR(INDEX('Glider Types'!$H:$H,MATCH(D83,'Glider Types'!$A:$A,0)),"")</f>
        <v>132</v>
      </c>
      <c r="M83" s="5" t="n">
        <f aca="false">IFERROR(INDEX('Glider Types'!$I:$I,MATCH(D83,'Glider Types'!$A:$A,0)),"")</f>
        <v>114</v>
      </c>
      <c r="N83" s="13"/>
      <c r="O83" s="13"/>
      <c r="P83" s="13"/>
    </row>
    <row r="84" customFormat="false" ht="35.05" hidden="false" customHeight="false" outlineLevel="0" collapsed="false">
      <c r="A84" s="5" t="s">
        <v>252</v>
      </c>
      <c r="B84" s="5" t="s">
        <v>253</v>
      </c>
      <c r="C84" s="5" t="s">
        <v>997</v>
      </c>
      <c r="D84" s="5" t="s">
        <v>797</v>
      </c>
      <c r="E84" s="5" t="s">
        <v>998</v>
      </c>
      <c r="F84" s="5" t="n">
        <v>2</v>
      </c>
      <c r="G84" s="5" t="s">
        <v>938</v>
      </c>
      <c r="H84" s="5" t="s">
        <v>864</v>
      </c>
      <c r="I84" s="5" t="s">
        <v>930</v>
      </c>
      <c r="J84" s="5" t="n">
        <f aca="false">IFERROR(INDEX('Glider Types'!$F:$F,MATCH(D84,'Glider Types'!$A:$A,0)),"")</f>
        <v>36.5</v>
      </c>
      <c r="K84" s="5" t="n">
        <f aca="false">IFERROR(INDEX('Glider Types'!$G:$G,MATCH(D84,'Glider Types'!$A:$A,0)),"")</f>
        <v>57</v>
      </c>
      <c r="L84" s="5" t="n">
        <f aca="false">IFERROR(INDEX('Glider Types'!$H:$H,MATCH(D84,'Glider Types'!$A:$A,0)),"")</f>
        <v>122</v>
      </c>
      <c r="M84" s="5" t="n">
        <f aca="false">IFERROR(INDEX('Glider Types'!$I:$I,MATCH(D84,'Glider Types'!$A:$A,0)),"")</f>
        <v>135</v>
      </c>
      <c r="N84" s="13"/>
      <c r="O84" s="13"/>
      <c r="P84" s="13"/>
    </row>
    <row r="85" customFormat="false" ht="15" hidden="false" customHeight="false" outlineLevel="0" collapsed="false">
      <c r="A85" s="5" t="s">
        <v>252</v>
      </c>
      <c r="B85" s="5" t="s">
        <v>253</v>
      </c>
      <c r="C85" s="5" t="s">
        <v>999</v>
      </c>
      <c r="D85" s="5" t="s">
        <v>803</v>
      </c>
      <c r="E85" s="5" t="s">
        <v>1000</v>
      </c>
      <c r="F85" s="5" t="n">
        <v>1</v>
      </c>
      <c r="G85" s="5" t="s">
        <v>938</v>
      </c>
      <c r="H85" s="5" t="s">
        <v>864</v>
      </c>
      <c r="I85" s="5" t="s">
        <v>744</v>
      </c>
      <c r="J85" s="5" t="n">
        <f aca="false">IFERROR(INDEX('Glider Types'!$F:$F,MATCH(D85,'Glider Types'!$A:$A,0)),"")</f>
        <v>37</v>
      </c>
      <c r="K85" s="5" t="n">
        <f aca="false">IFERROR(INDEX('Glider Types'!$G:$G,MATCH(D85,'Glider Types'!$A:$A,0)),"")</f>
        <v>51</v>
      </c>
      <c r="L85" s="5" t="n">
        <f aca="false">IFERROR(INDEX('Glider Types'!$H:$H,MATCH(D85,'Glider Types'!$A:$A,0)),"")</f>
        <v>122</v>
      </c>
      <c r="M85" s="5" t="n">
        <f aca="false">IFERROR(INDEX('Glider Types'!$I:$I,MATCH(D85,'Glider Types'!$A:$A,0)),"")</f>
        <v>135</v>
      </c>
      <c r="N85" s="13"/>
      <c r="O85" s="13"/>
      <c r="P85" s="13"/>
    </row>
    <row r="86" customFormat="false" ht="15" hidden="false" customHeight="false" outlineLevel="0" collapsed="false">
      <c r="A86" s="5" t="s">
        <v>252</v>
      </c>
      <c r="B86" s="5" t="s">
        <v>253</v>
      </c>
      <c r="C86" s="5" t="s">
        <v>821</v>
      </c>
      <c r="D86" s="5" t="s">
        <v>820</v>
      </c>
      <c r="E86" s="5" t="s">
        <v>1001</v>
      </c>
      <c r="F86" s="5" t="n">
        <v>2</v>
      </c>
      <c r="G86" s="5" t="s">
        <v>938</v>
      </c>
      <c r="H86" s="5" t="s">
        <v>864</v>
      </c>
      <c r="I86" s="5"/>
      <c r="J86" s="5" t="n">
        <f aca="false">IFERROR(INDEX('Glider Types'!$F:$F,MATCH(D86,'Glider Types'!$A:$A,0)),"")</f>
        <v>45</v>
      </c>
      <c r="K86" s="5" t="n">
        <f aca="false">IFERROR(INDEX('Glider Types'!$G:$G,MATCH(D86,'Glider Types'!$A:$A,0)),"")</f>
        <v>54</v>
      </c>
      <c r="L86" s="5" t="n">
        <f aca="false">IFERROR(INDEX('Glider Types'!$H:$H,MATCH(D86,'Glider Types'!$A:$A,0)),"")</f>
        <v>108</v>
      </c>
      <c r="M86" s="5" t="n">
        <f aca="false">IFERROR(INDEX('Glider Types'!$I:$I,MATCH(D86,'Glider Types'!$A:$A,0)),"")</f>
        <v>135</v>
      </c>
      <c r="N86" s="13"/>
      <c r="O86" s="13"/>
      <c r="P86" s="13"/>
    </row>
    <row r="87" customFormat="false" ht="15" hidden="false" customHeight="false" outlineLevel="0" collapsed="false">
      <c r="A87" s="5" t="s">
        <v>252</v>
      </c>
      <c r="B87" s="5" t="s">
        <v>253</v>
      </c>
      <c r="C87" s="5" t="s">
        <v>1002</v>
      </c>
      <c r="D87" s="5" t="s">
        <v>749</v>
      </c>
      <c r="E87" s="5" t="s">
        <v>1003</v>
      </c>
      <c r="F87" s="5" t="n">
        <v>2</v>
      </c>
      <c r="G87" s="5" t="s">
        <v>938</v>
      </c>
      <c r="H87" s="5" t="s">
        <v>864</v>
      </c>
      <c r="I87" s="5"/>
      <c r="J87" s="5" t="n">
        <f aca="false">IFERROR(INDEX('Glider Types'!$F:$F,MATCH(D87,'Glider Types'!$A:$A,0)),"")</f>
        <v>17</v>
      </c>
      <c r="K87" s="5" t="n">
        <f aca="false">IFERROR(INDEX('Glider Types'!$G:$G,MATCH(D87,'Glider Types'!$A:$A,0)),"")</f>
        <v>42</v>
      </c>
      <c r="L87" s="5" t="n">
        <f aca="false">IFERROR(INDEX('Glider Types'!$H:$H,MATCH(D87,'Glider Types'!$A:$A,0)),"")</f>
        <v>197</v>
      </c>
      <c r="M87" s="5" t="n">
        <f aca="false">IFERROR(INDEX('Glider Types'!$I:$I,MATCH(D87,'Glider Types'!$A:$A,0)),"")</f>
        <v>63</v>
      </c>
      <c r="N87" s="13"/>
      <c r="O87" s="13"/>
      <c r="P87" s="13"/>
    </row>
    <row r="88" customFormat="false" ht="23.85" hidden="false" customHeight="false" outlineLevel="0" collapsed="false">
      <c r="A88" s="5" t="s">
        <v>236</v>
      </c>
      <c r="B88" s="5" t="s">
        <v>237</v>
      </c>
      <c r="C88" s="5" t="s">
        <v>780</v>
      </c>
      <c r="D88" s="5" t="s">
        <v>779</v>
      </c>
      <c r="E88" s="5" t="s">
        <v>1004</v>
      </c>
      <c r="F88" s="5" t="n">
        <v>2</v>
      </c>
      <c r="G88" s="5"/>
      <c r="H88" s="5" t="s">
        <v>864</v>
      </c>
      <c r="I88" s="5" t="s">
        <v>967</v>
      </c>
      <c r="J88" s="5" t="n">
        <f aca="false">IFERROR(INDEX('Glider Types'!$F:$F,MATCH(D88,'Glider Types'!$A:$A,0)),"")</f>
        <v>34</v>
      </c>
      <c r="K88" s="5" t="n">
        <f aca="false">IFERROR(INDEX('Glider Types'!$G:$G,MATCH(D88,'Glider Types'!$A:$A,0)),"")</f>
        <v>49</v>
      </c>
      <c r="L88" s="5" t="n">
        <f aca="false">IFERROR(INDEX('Glider Types'!$H:$H,MATCH(D88,'Glider Types'!$A:$A,0)),"")</f>
        <v>128</v>
      </c>
      <c r="M88" s="5" t="n">
        <f aca="false">IFERROR(INDEX('Glider Types'!$I:$I,MATCH(D88,'Glider Types'!$A:$A,0)),"")</f>
        <v>151</v>
      </c>
      <c r="N88" s="13"/>
      <c r="O88" s="13"/>
      <c r="P88" s="13"/>
    </row>
    <row r="89" customFormat="false" ht="23.85" hidden="false" customHeight="false" outlineLevel="0" collapsed="false">
      <c r="A89" s="5" t="s">
        <v>236</v>
      </c>
      <c r="B89" s="5" t="s">
        <v>237</v>
      </c>
      <c r="C89" s="5" t="s">
        <v>773</v>
      </c>
      <c r="D89" s="5" t="s">
        <v>772</v>
      </c>
      <c r="E89" s="5" t="s">
        <v>1005</v>
      </c>
      <c r="F89" s="5" t="n">
        <v>2</v>
      </c>
      <c r="G89" s="5"/>
      <c r="H89" s="5" t="s">
        <v>864</v>
      </c>
      <c r="I89" s="5" t="s">
        <v>744</v>
      </c>
      <c r="J89" s="5" t="n">
        <f aca="false">IFERROR(INDEX('Glider Types'!$F:$F,MATCH(D89,'Glider Types'!$A:$A,0)),"")</f>
        <v>28</v>
      </c>
      <c r="K89" s="5" t="n">
        <f aca="false">IFERROR(INDEX('Glider Types'!$G:$G,MATCH(D89,'Glider Types'!$A:$A,0)),"")</f>
        <v>49</v>
      </c>
      <c r="L89" s="5" t="n">
        <f aca="false">IFERROR(INDEX('Glider Types'!$H:$H,MATCH(D89,'Glider Types'!$A:$A,0)),"")</f>
        <v>148</v>
      </c>
      <c r="M89" s="5" t="n">
        <f aca="false">IFERROR(INDEX('Glider Types'!$I:$I,MATCH(D89,'Glider Types'!$A:$A,0)),"")</f>
        <v>135</v>
      </c>
      <c r="N89" s="13"/>
      <c r="O89" s="13"/>
      <c r="P89" s="13"/>
    </row>
    <row r="90" customFormat="false" ht="23.85" hidden="false" customHeight="false" outlineLevel="0" collapsed="false">
      <c r="A90" s="5" t="s">
        <v>236</v>
      </c>
      <c r="B90" s="5" t="s">
        <v>237</v>
      </c>
      <c r="C90" s="5" t="s">
        <v>912</v>
      </c>
      <c r="D90" s="5" t="s">
        <v>797</v>
      </c>
      <c r="E90" s="5" t="s">
        <v>1006</v>
      </c>
      <c r="F90" s="5" t="n">
        <v>2</v>
      </c>
      <c r="G90" s="5"/>
      <c r="H90" s="5" t="s">
        <v>864</v>
      </c>
      <c r="I90" s="5"/>
      <c r="J90" s="5" t="n">
        <f aca="false">IFERROR(INDEX('Glider Types'!$F:$F,MATCH(D90,'Glider Types'!$A:$A,0)),"")</f>
        <v>36.5</v>
      </c>
      <c r="K90" s="5" t="n">
        <f aca="false">IFERROR(INDEX('Glider Types'!$G:$G,MATCH(D90,'Glider Types'!$A:$A,0)),"")</f>
        <v>57</v>
      </c>
      <c r="L90" s="5" t="n">
        <f aca="false">IFERROR(INDEX('Glider Types'!$H:$H,MATCH(D90,'Glider Types'!$A:$A,0)),"")</f>
        <v>122</v>
      </c>
      <c r="M90" s="5" t="n">
        <f aca="false">IFERROR(INDEX('Glider Types'!$I:$I,MATCH(D90,'Glider Types'!$A:$A,0)),"")</f>
        <v>135</v>
      </c>
      <c r="N90" s="13"/>
      <c r="O90" s="13"/>
      <c r="P90" s="13"/>
    </row>
    <row r="91" customFormat="false" ht="23.85" hidden="false" customHeight="false" outlineLevel="0" collapsed="false">
      <c r="A91" s="5" t="s">
        <v>236</v>
      </c>
      <c r="B91" s="5" t="s">
        <v>237</v>
      </c>
      <c r="C91" s="5" t="s">
        <v>973</v>
      </c>
      <c r="D91" s="5" t="s">
        <v>754</v>
      </c>
      <c r="E91" s="5" t="s">
        <v>1007</v>
      </c>
      <c r="F91" s="5" t="n">
        <v>1</v>
      </c>
      <c r="G91" s="5"/>
      <c r="H91" s="5" t="s">
        <v>864</v>
      </c>
      <c r="I91" s="5"/>
      <c r="J91" s="5" t="n">
        <f aca="false">IFERROR(INDEX('Glider Types'!$F:$F,MATCH(D91,'Glider Types'!$A:$A,0)),"")</f>
        <v>23</v>
      </c>
      <c r="K91" s="5" t="n">
        <f aca="false">IFERROR(INDEX('Glider Types'!$G:$G,MATCH(D91,'Glider Types'!$A:$A,0)),"")</f>
        <v>46</v>
      </c>
      <c r="L91" s="5" t="n">
        <f aca="false">IFERROR(INDEX('Glider Types'!$H:$H,MATCH(D91,'Glider Types'!$A:$A,0)),"")</f>
        <v>161</v>
      </c>
      <c r="M91" s="5" t="n">
        <f aca="false">IFERROR(INDEX('Glider Types'!$I:$I,MATCH(D91,'Glider Types'!$A:$A,0)),"")</f>
        <v>99</v>
      </c>
      <c r="N91" s="13"/>
      <c r="O91" s="13"/>
      <c r="P91" s="13"/>
    </row>
    <row r="92" customFormat="false" ht="15" hidden="false" customHeight="false" outlineLevel="0" collapsed="false">
      <c r="A92" s="5" t="s">
        <v>188</v>
      </c>
      <c r="B92" s="5" t="s">
        <v>189</v>
      </c>
      <c r="C92" s="5" t="s">
        <v>1008</v>
      </c>
      <c r="D92" s="5" t="s">
        <v>797</v>
      </c>
      <c r="E92" s="5" t="s">
        <v>1009</v>
      </c>
      <c r="F92" s="5" t="n">
        <v>2</v>
      </c>
      <c r="G92" s="5" t="s">
        <v>877</v>
      </c>
      <c r="H92" s="5" t="s">
        <v>1010</v>
      </c>
      <c r="I92" s="5" t="s">
        <v>930</v>
      </c>
      <c r="J92" s="5" t="n">
        <f aca="false">IFERROR(INDEX('Glider Types'!$F:$F,MATCH(D92,'Glider Types'!$A:$A,0)),"")</f>
        <v>36.5</v>
      </c>
      <c r="K92" s="5" t="n">
        <f aca="false">IFERROR(INDEX('Glider Types'!$G:$G,MATCH(D92,'Glider Types'!$A:$A,0)),"")</f>
        <v>57</v>
      </c>
      <c r="L92" s="5" t="n">
        <f aca="false">IFERROR(INDEX('Glider Types'!$H:$H,MATCH(D92,'Glider Types'!$A:$A,0)),"")</f>
        <v>122</v>
      </c>
      <c r="M92" s="5" t="n">
        <f aca="false">IFERROR(INDEX('Glider Types'!$I:$I,MATCH(D92,'Glider Types'!$A:$A,0)),"")</f>
        <v>135</v>
      </c>
      <c r="N92" s="13"/>
      <c r="O92" s="13"/>
      <c r="P92" s="13"/>
    </row>
    <row r="93" customFormat="false" ht="23.85" hidden="false" customHeight="false" outlineLevel="0" collapsed="false">
      <c r="A93" s="5" t="s">
        <v>188</v>
      </c>
      <c r="B93" s="5" t="s">
        <v>189</v>
      </c>
      <c r="C93" s="5" t="s">
        <v>1011</v>
      </c>
      <c r="D93" s="5" t="s">
        <v>803</v>
      </c>
      <c r="E93" s="5" t="s">
        <v>1012</v>
      </c>
      <c r="F93" s="5" t="n">
        <v>1</v>
      </c>
      <c r="G93" s="5" t="s">
        <v>877</v>
      </c>
      <c r="H93" s="5" t="s">
        <v>1013</v>
      </c>
      <c r="I93" s="5" t="s">
        <v>744</v>
      </c>
      <c r="J93" s="5" t="n">
        <f aca="false">IFERROR(INDEX('Glider Types'!$F:$F,MATCH(D93,'Glider Types'!$A:$A,0)),"")</f>
        <v>37</v>
      </c>
      <c r="K93" s="5" t="n">
        <f aca="false">IFERROR(INDEX('Glider Types'!$G:$G,MATCH(D93,'Glider Types'!$A:$A,0)),"")</f>
        <v>51</v>
      </c>
      <c r="L93" s="5" t="n">
        <f aca="false">IFERROR(INDEX('Glider Types'!$H:$H,MATCH(D93,'Glider Types'!$A:$A,0)),"")</f>
        <v>122</v>
      </c>
      <c r="M93" s="5" t="n">
        <f aca="false">IFERROR(INDEX('Glider Types'!$I:$I,MATCH(D93,'Glider Types'!$A:$A,0)),"")</f>
        <v>135</v>
      </c>
      <c r="N93" s="13"/>
      <c r="O93" s="13"/>
      <c r="P93" s="13"/>
    </row>
    <row r="94" customFormat="false" ht="15" hidden="false" customHeight="false" outlineLevel="0" collapsed="false">
      <c r="A94" s="5" t="s">
        <v>188</v>
      </c>
      <c r="B94" s="5" t="s">
        <v>189</v>
      </c>
      <c r="C94" s="5" t="s">
        <v>773</v>
      </c>
      <c r="D94" s="5" t="s">
        <v>772</v>
      </c>
      <c r="E94" s="5" t="s">
        <v>1014</v>
      </c>
      <c r="F94" s="5" t="n">
        <v>2</v>
      </c>
      <c r="G94" s="5" t="s">
        <v>877</v>
      </c>
      <c r="H94" s="5" t="s">
        <v>1010</v>
      </c>
      <c r="I94" s="5" t="s">
        <v>744</v>
      </c>
      <c r="J94" s="5" t="n">
        <f aca="false">IFERROR(INDEX('Glider Types'!$F:$F,MATCH(D94,'Glider Types'!$A:$A,0)),"")</f>
        <v>28</v>
      </c>
      <c r="K94" s="5" t="n">
        <f aca="false">IFERROR(INDEX('Glider Types'!$G:$G,MATCH(D94,'Glider Types'!$A:$A,0)),"")</f>
        <v>49</v>
      </c>
      <c r="L94" s="5" t="n">
        <f aca="false">IFERROR(INDEX('Glider Types'!$H:$H,MATCH(D94,'Glider Types'!$A:$A,0)),"")</f>
        <v>148</v>
      </c>
      <c r="M94" s="5" t="n">
        <f aca="false">IFERROR(INDEX('Glider Types'!$I:$I,MATCH(D94,'Glider Types'!$A:$A,0)),"")</f>
        <v>135</v>
      </c>
      <c r="N94" s="13"/>
      <c r="O94" s="13"/>
      <c r="P94" s="13"/>
    </row>
    <row r="95" customFormat="false" ht="23.85" hidden="false" customHeight="false" outlineLevel="0" collapsed="false">
      <c r="A95" s="5" t="s">
        <v>299</v>
      </c>
      <c r="B95" s="5" t="s">
        <v>300</v>
      </c>
      <c r="C95" s="5" t="s">
        <v>780</v>
      </c>
      <c r="D95" s="5" t="s">
        <v>779</v>
      </c>
      <c r="E95" s="5" t="s">
        <v>1015</v>
      </c>
      <c r="F95" s="5" t="n">
        <v>2</v>
      </c>
      <c r="G95" s="5"/>
      <c r="H95" s="5" t="s">
        <v>864</v>
      </c>
      <c r="I95" s="5" t="s">
        <v>967</v>
      </c>
      <c r="J95" s="5" t="n">
        <f aca="false">IFERROR(INDEX('Glider Types'!$F:$F,MATCH(D95,'Glider Types'!$A:$A,0)),"")</f>
        <v>34</v>
      </c>
      <c r="K95" s="5" t="n">
        <f aca="false">IFERROR(INDEX('Glider Types'!$G:$G,MATCH(D95,'Glider Types'!$A:$A,0)),"")</f>
        <v>49</v>
      </c>
      <c r="L95" s="5" t="n">
        <f aca="false">IFERROR(INDEX('Glider Types'!$H:$H,MATCH(D95,'Glider Types'!$A:$A,0)),"")</f>
        <v>128</v>
      </c>
      <c r="M95" s="5" t="n">
        <f aca="false">IFERROR(INDEX('Glider Types'!$I:$I,MATCH(D95,'Glider Types'!$A:$A,0)),"")</f>
        <v>151</v>
      </c>
      <c r="N95" s="13"/>
      <c r="O95" s="13"/>
      <c r="P95" s="13"/>
    </row>
    <row r="96" customFormat="false" ht="23.85" hidden="false" customHeight="false" outlineLevel="0" collapsed="false">
      <c r="A96" s="5" t="s">
        <v>299</v>
      </c>
      <c r="B96" s="5" t="s">
        <v>300</v>
      </c>
      <c r="C96" s="5" t="s">
        <v>1016</v>
      </c>
      <c r="D96" s="5" t="s">
        <v>779</v>
      </c>
      <c r="E96" s="5" t="s">
        <v>1017</v>
      </c>
      <c r="F96" s="5" t="n">
        <v>2</v>
      </c>
      <c r="G96" s="5"/>
      <c r="H96" s="5" t="s">
        <v>864</v>
      </c>
      <c r="I96" s="5" t="s">
        <v>967</v>
      </c>
      <c r="J96" s="5" t="n">
        <f aca="false">IFERROR(INDEX('Glider Types'!$F:$F,MATCH(D96,'Glider Types'!$A:$A,0)),"")</f>
        <v>34</v>
      </c>
      <c r="K96" s="5" t="n">
        <f aca="false">IFERROR(INDEX('Glider Types'!$G:$G,MATCH(D96,'Glider Types'!$A:$A,0)),"")</f>
        <v>49</v>
      </c>
      <c r="L96" s="5" t="n">
        <f aca="false">IFERROR(INDEX('Glider Types'!$H:$H,MATCH(D96,'Glider Types'!$A:$A,0)),"")</f>
        <v>128</v>
      </c>
      <c r="M96" s="5" t="n">
        <f aca="false">IFERROR(INDEX('Glider Types'!$I:$I,MATCH(D96,'Glider Types'!$A:$A,0)),"")</f>
        <v>151</v>
      </c>
      <c r="N96" s="13"/>
      <c r="O96" s="13"/>
      <c r="P96" s="13"/>
    </row>
    <row r="97" customFormat="false" ht="23.85" hidden="false" customHeight="false" outlineLevel="0" collapsed="false">
      <c r="A97" s="5" t="s">
        <v>299</v>
      </c>
      <c r="B97" s="5" t="s">
        <v>300</v>
      </c>
      <c r="C97" s="5" t="s">
        <v>867</v>
      </c>
      <c r="D97" s="5" t="s">
        <v>741</v>
      </c>
      <c r="E97" s="5" t="s">
        <v>1018</v>
      </c>
      <c r="F97" s="5" t="n">
        <v>2</v>
      </c>
      <c r="G97" s="5"/>
      <c r="H97" s="5" t="s">
        <v>864</v>
      </c>
      <c r="I97" s="5" t="s">
        <v>744</v>
      </c>
      <c r="J97" s="5" t="n">
        <f aca="false">IFERROR(INDEX('Glider Types'!$F:$F,MATCH(D97,'Glider Types'!$A:$A,0)),"")</f>
        <v>23</v>
      </c>
      <c r="K97" s="5" t="n">
        <f aca="false">IFERROR(INDEX('Glider Types'!$G:$G,MATCH(D97,'Glider Types'!$A:$A,0)),"")</f>
        <v>39</v>
      </c>
      <c r="L97" s="5" t="n">
        <f aca="false">IFERROR(INDEX('Glider Types'!$H:$H,MATCH(D97,'Glider Types'!$A:$A,0)),"")</f>
        <v>185</v>
      </c>
      <c r="M97" s="5" t="n">
        <f aca="false">IFERROR(INDEX('Glider Types'!$I:$I,MATCH(D97,'Glider Types'!$A:$A,0)),"")</f>
        <v>85</v>
      </c>
      <c r="N97" s="13"/>
      <c r="O97" s="13"/>
      <c r="P97" s="13"/>
    </row>
    <row r="98" customFormat="false" ht="23.85" hidden="false" customHeight="false" outlineLevel="0" collapsed="false">
      <c r="A98" s="5" t="s">
        <v>299</v>
      </c>
      <c r="B98" s="5" t="s">
        <v>300</v>
      </c>
      <c r="C98" s="5" t="s">
        <v>1019</v>
      </c>
      <c r="D98" s="5" t="s">
        <v>803</v>
      </c>
      <c r="E98" s="5" t="s">
        <v>1020</v>
      </c>
      <c r="F98" s="5" t="n">
        <v>1</v>
      </c>
      <c r="G98" s="5"/>
      <c r="H98" s="5" t="s">
        <v>864</v>
      </c>
      <c r="I98" s="5"/>
      <c r="J98" s="5" t="n">
        <f aca="false">IFERROR(INDEX('Glider Types'!$F:$F,MATCH(D98,'Glider Types'!$A:$A,0)),"")</f>
        <v>37</v>
      </c>
      <c r="K98" s="5" t="n">
        <f aca="false">IFERROR(INDEX('Glider Types'!$G:$G,MATCH(D98,'Glider Types'!$A:$A,0)),"")</f>
        <v>51</v>
      </c>
      <c r="L98" s="5" t="n">
        <f aca="false">IFERROR(INDEX('Glider Types'!$H:$H,MATCH(D98,'Glider Types'!$A:$A,0)),"")</f>
        <v>122</v>
      </c>
      <c r="M98" s="5" t="n">
        <f aca="false">IFERROR(INDEX('Glider Types'!$I:$I,MATCH(D98,'Glider Types'!$A:$A,0)),"")</f>
        <v>135</v>
      </c>
      <c r="N98" s="13"/>
      <c r="O98" s="13"/>
      <c r="P98" s="13"/>
    </row>
    <row r="99" customFormat="false" ht="23.85" hidden="false" customHeight="false" outlineLevel="0" collapsed="false">
      <c r="A99" s="5" t="s">
        <v>299</v>
      </c>
      <c r="B99" s="5" t="s">
        <v>300</v>
      </c>
      <c r="C99" s="5" t="s">
        <v>811</v>
      </c>
      <c r="D99" s="5" t="s">
        <v>810</v>
      </c>
      <c r="E99" s="5" t="s">
        <v>1021</v>
      </c>
      <c r="F99" s="5" t="n">
        <v>1</v>
      </c>
      <c r="G99" s="5"/>
      <c r="H99" s="5" t="s">
        <v>864</v>
      </c>
      <c r="I99" s="5"/>
      <c r="J99" s="5" t="n">
        <f aca="false">IFERROR(INDEX('Glider Types'!$F:$F,MATCH(D99,'Glider Types'!$A:$A,0)),"")</f>
        <v>40.5</v>
      </c>
      <c r="K99" s="5" t="n">
        <f aca="false">IFERROR(INDEX('Glider Types'!$G:$G,MATCH(D99,'Glider Types'!$A:$A,0)),"")</f>
        <v>54</v>
      </c>
      <c r="L99" s="5" t="n">
        <f aca="false">IFERROR(INDEX('Glider Types'!$H:$H,MATCH(D99,'Glider Types'!$A:$A,0)),"")</f>
        <v>118</v>
      </c>
      <c r="M99" s="5" t="n">
        <f aca="false">IFERROR(INDEX('Glider Types'!$I:$I,MATCH(D99,'Glider Types'!$A:$A,0)),"")</f>
        <v>146</v>
      </c>
      <c r="N99" s="13"/>
      <c r="O99" s="13"/>
      <c r="P99" s="13"/>
    </row>
    <row r="100" customFormat="false" ht="15" hidden="false" customHeight="false" outlineLevel="0" collapsed="false">
      <c r="A100" s="5" t="s">
        <v>272</v>
      </c>
      <c r="B100" s="5" t="s">
        <v>273</v>
      </c>
      <c r="C100" s="5" t="s">
        <v>1022</v>
      </c>
      <c r="D100" s="5" t="s">
        <v>779</v>
      </c>
      <c r="E100" s="5" t="s">
        <v>870</v>
      </c>
      <c r="F100" s="5" t="n">
        <v>2</v>
      </c>
      <c r="G100" s="5" t="s">
        <v>1023</v>
      </c>
      <c r="H100" s="5" t="s">
        <v>1024</v>
      </c>
      <c r="I100" s="5" t="s">
        <v>967</v>
      </c>
      <c r="J100" s="5" t="n">
        <f aca="false">IFERROR(INDEX('Glider Types'!$F:$F,MATCH(D100,'Glider Types'!$A:$A,0)),"")</f>
        <v>34</v>
      </c>
      <c r="K100" s="5" t="n">
        <f aca="false">IFERROR(INDEX('Glider Types'!$G:$G,MATCH(D100,'Glider Types'!$A:$A,0)),"")</f>
        <v>49</v>
      </c>
      <c r="L100" s="5" t="n">
        <f aca="false">IFERROR(INDEX('Glider Types'!$H:$H,MATCH(D100,'Glider Types'!$A:$A,0)),"")</f>
        <v>128</v>
      </c>
      <c r="M100" s="5" t="n">
        <f aca="false">IFERROR(INDEX('Glider Types'!$I:$I,MATCH(D100,'Glider Types'!$A:$A,0)),"")</f>
        <v>151</v>
      </c>
      <c r="N100" s="13"/>
      <c r="O100" s="13"/>
      <c r="P100" s="13"/>
    </row>
    <row r="101" customFormat="false" ht="15" hidden="false" customHeight="false" outlineLevel="0" collapsed="false">
      <c r="A101" s="5" t="s">
        <v>272</v>
      </c>
      <c r="B101" s="5" t="s">
        <v>273</v>
      </c>
      <c r="C101" s="5" t="s">
        <v>1025</v>
      </c>
      <c r="D101" s="5" t="s">
        <v>817</v>
      </c>
      <c r="E101" s="5" t="s">
        <v>870</v>
      </c>
      <c r="F101" s="5" t="n">
        <v>1</v>
      </c>
      <c r="G101" s="5" t="s">
        <v>1026</v>
      </c>
      <c r="H101" s="5" t="s">
        <v>1024</v>
      </c>
      <c r="I101" s="5" t="s">
        <v>1027</v>
      </c>
      <c r="J101" s="5" t="n">
        <f aca="false">IFERROR(INDEX('Glider Types'!$F:$F,MATCH(D101,'Glider Types'!$A:$A,0)),"")</f>
        <v>42</v>
      </c>
      <c r="K101" s="5" t="n">
        <f aca="false">IFERROR(INDEX('Glider Types'!$G:$G,MATCH(D101,'Glider Types'!$A:$A,0)),"")</f>
        <v>54</v>
      </c>
      <c r="L101" s="5" t="n">
        <f aca="false">IFERROR(INDEX('Glider Types'!$H:$H,MATCH(D101,'Glider Types'!$A:$A,0)),"")</f>
        <v>116</v>
      </c>
      <c r="M101" s="5" t="n">
        <f aca="false">IFERROR(INDEX('Glider Types'!$I:$I,MATCH(D101,'Glider Types'!$A:$A,0)),"")</f>
        <v>135</v>
      </c>
      <c r="N101" s="13"/>
      <c r="O101" s="13"/>
      <c r="P101" s="13"/>
    </row>
    <row r="102" customFormat="false" ht="15" hidden="false" customHeight="false" outlineLevel="0" collapsed="false">
      <c r="A102" s="5" t="s">
        <v>272</v>
      </c>
      <c r="B102" s="5" t="s">
        <v>273</v>
      </c>
      <c r="C102" s="5" t="s">
        <v>1028</v>
      </c>
      <c r="D102" s="5" t="s">
        <v>793</v>
      </c>
      <c r="E102" s="5" t="s">
        <v>870</v>
      </c>
      <c r="F102" s="5" t="n">
        <v>1</v>
      </c>
      <c r="G102" s="5" t="s">
        <v>1029</v>
      </c>
      <c r="H102" s="5" t="s">
        <v>1024</v>
      </c>
      <c r="I102" s="5" t="s">
        <v>796</v>
      </c>
      <c r="J102" s="5" t="n">
        <f aca="false">IFERROR(INDEX('Glider Types'!$F:$F,MATCH(D102,'Glider Types'!$A:$A,0)),"")</f>
        <v>33</v>
      </c>
      <c r="K102" s="5" t="n">
        <f aca="false">IFERROR(INDEX('Glider Types'!$G:$G,MATCH(D102,'Glider Types'!$A:$A,0)),"")</f>
        <v>43</v>
      </c>
      <c r="L102" s="5" t="n">
        <f aca="false">IFERROR(INDEX('Glider Types'!$H:$H,MATCH(D102,'Glider Types'!$A:$A,0)),"")</f>
        <v>126</v>
      </c>
      <c r="M102" s="5" t="n">
        <f aca="false">IFERROR(INDEX('Glider Types'!$I:$I,MATCH(D102,'Glider Types'!$A:$A,0)),"")</f>
        <v>119</v>
      </c>
      <c r="N102" s="13"/>
      <c r="O102" s="13"/>
      <c r="P102" s="13"/>
    </row>
    <row r="103" customFormat="false" ht="15" hidden="false" customHeight="false" outlineLevel="0" collapsed="false">
      <c r="A103" s="5" t="s">
        <v>309</v>
      </c>
      <c r="B103" s="5" t="s">
        <v>310</v>
      </c>
      <c r="C103" s="5" t="s">
        <v>784</v>
      </c>
      <c r="D103" s="5" t="s">
        <v>783</v>
      </c>
      <c r="E103" s="5" t="s">
        <v>870</v>
      </c>
      <c r="F103" s="5" t="n">
        <v>2</v>
      </c>
      <c r="G103" s="5" t="s">
        <v>935</v>
      </c>
      <c r="H103" s="5" t="s">
        <v>1030</v>
      </c>
      <c r="I103" s="5" t="s">
        <v>744</v>
      </c>
      <c r="J103" s="5" t="n">
        <f aca="false">IFERROR(INDEX('Glider Types'!$F:$F,MATCH(D103,'Glider Types'!$A:$A,0)),"")</f>
        <v>28</v>
      </c>
      <c r="K103" s="5" t="n">
        <f aca="false">IFERROR(INDEX('Glider Types'!$G:$G,MATCH(D103,'Glider Types'!$A:$A,0)),"")</f>
        <v>49</v>
      </c>
      <c r="L103" s="5" t="n">
        <f aca="false">IFERROR(INDEX('Glider Types'!$H:$H,MATCH(D103,'Glider Types'!$A:$A,0)),"")</f>
        <v>159</v>
      </c>
      <c r="M103" s="5" t="n">
        <f aca="false">IFERROR(INDEX('Glider Types'!$I:$I,MATCH(D103,'Glider Types'!$A:$A,0)),"")</f>
        <v>108</v>
      </c>
      <c r="N103" s="13"/>
      <c r="O103" s="13"/>
      <c r="P103" s="13"/>
    </row>
    <row r="104" customFormat="false" ht="15" hidden="false" customHeight="false" outlineLevel="0" collapsed="false">
      <c r="A104" s="5" t="s">
        <v>291</v>
      </c>
      <c r="B104" s="5" t="s">
        <v>292</v>
      </c>
      <c r="C104" s="5" t="s">
        <v>780</v>
      </c>
      <c r="D104" s="5" t="s">
        <v>779</v>
      </c>
      <c r="E104" s="5" t="s">
        <v>1031</v>
      </c>
      <c r="F104" s="5" t="n">
        <v>2</v>
      </c>
      <c r="G104" s="5"/>
      <c r="H104" s="5" t="s">
        <v>1032</v>
      </c>
      <c r="I104" s="5"/>
      <c r="J104" s="5" t="n">
        <f aca="false">IFERROR(INDEX('Glider Types'!$F:$F,MATCH(D104,'Glider Types'!$A:$A,0)),"")</f>
        <v>34</v>
      </c>
      <c r="K104" s="5" t="n">
        <f aca="false">IFERROR(INDEX('Glider Types'!$G:$G,MATCH(D104,'Glider Types'!$A:$A,0)),"")</f>
        <v>49</v>
      </c>
      <c r="L104" s="5" t="n">
        <f aca="false">IFERROR(INDEX('Glider Types'!$H:$H,MATCH(D104,'Glider Types'!$A:$A,0)),"")</f>
        <v>128</v>
      </c>
      <c r="M104" s="5" t="n">
        <f aca="false">IFERROR(INDEX('Glider Types'!$I:$I,MATCH(D104,'Glider Types'!$A:$A,0)),"")</f>
        <v>151</v>
      </c>
      <c r="N104" s="13"/>
      <c r="O104" s="13"/>
      <c r="P104" s="13"/>
    </row>
    <row r="105" customFormat="false" ht="15" hidden="false" customHeight="false" outlineLevel="0" collapsed="false">
      <c r="A105" s="5" t="s">
        <v>291</v>
      </c>
      <c r="B105" s="5" t="s">
        <v>292</v>
      </c>
      <c r="C105" s="5" t="s">
        <v>947</v>
      </c>
      <c r="D105" s="5" t="s">
        <v>833</v>
      </c>
      <c r="E105" s="5" t="s">
        <v>870</v>
      </c>
      <c r="F105" s="5" t="n">
        <v>2</v>
      </c>
      <c r="G105" s="5"/>
      <c r="H105" s="5" t="s">
        <v>1032</v>
      </c>
      <c r="I105" s="5"/>
      <c r="J105" s="5" t="n">
        <f aca="false">IFERROR(INDEX('Glider Types'!$F:$F,MATCH(D105,'Glider Types'!$A:$A,0)),"")</f>
        <v>34</v>
      </c>
      <c r="K105" s="5" t="n">
        <f aca="false">IFERROR(INDEX('Glider Types'!$G:$G,MATCH(D105,'Glider Types'!$A:$A,0)),"")</f>
        <v>49</v>
      </c>
      <c r="L105" s="5" t="n">
        <f aca="false">IFERROR(INDEX('Glider Types'!$H:$H,MATCH(D105,'Glider Types'!$A:$A,0)),"")</f>
        <v>138</v>
      </c>
      <c r="M105" s="5" t="n">
        <f aca="false">IFERROR(INDEX('Glider Types'!$I:$I,MATCH(D105,'Glider Types'!$A:$A,0)),"")</f>
        <v>113</v>
      </c>
      <c r="N105" s="13"/>
      <c r="O105" s="13"/>
      <c r="P105" s="13"/>
    </row>
    <row r="106" customFormat="false" ht="15" hidden="false" customHeight="false" outlineLevel="0" collapsed="false">
      <c r="A106" s="5" t="s">
        <v>282</v>
      </c>
      <c r="B106" s="5" t="s">
        <v>283</v>
      </c>
      <c r="C106" s="5" t="s">
        <v>1022</v>
      </c>
      <c r="D106" s="5" t="s">
        <v>779</v>
      </c>
      <c r="E106" s="5" t="s">
        <v>870</v>
      </c>
      <c r="F106" s="5" t="n">
        <v>2</v>
      </c>
      <c r="G106" s="5"/>
      <c r="H106" s="5" t="s">
        <v>1033</v>
      </c>
      <c r="I106" s="5" t="s">
        <v>967</v>
      </c>
      <c r="J106" s="5" t="n">
        <f aca="false">IFERROR(INDEX('Glider Types'!$F:$F,MATCH(D106,'Glider Types'!$A:$A,0)),"")</f>
        <v>34</v>
      </c>
      <c r="K106" s="5" t="n">
        <f aca="false">IFERROR(INDEX('Glider Types'!$G:$G,MATCH(D106,'Glider Types'!$A:$A,0)),"")</f>
        <v>49</v>
      </c>
      <c r="L106" s="5" t="n">
        <f aca="false">IFERROR(INDEX('Glider Types'!$H:$H,MATCH(D106,'Glider Types'!$A:$A,0)),"")</f>
        <v>128</v>
      </c>
      <c r="M106" s="5" t="n">
        <f aca="false">IFERROR(INDEX('Glider Types'!$I:$I,MATCH(D106,'Glider Types'!$A:$A,0)),"")</f>
        <v>151</v>
      </c>
      <c r="N106" s="13"/>
      <c r="O106" s="13"/>
      <c r="P106" s="13"/>
    </row>
    <row r="107" customFormat="false" ht="15" hidden="false" customHeight="false" outlineLevel="0" collapsed="false">
      <c r="A107" s="5" t="s">
        <v>282</v>
      </c>
      <c r="B107" s="5" t="s">
        <v>283</v>
      </c>
      <c r="C107" s="5" t="s">
        <v>1034</v>
      </c>
      <c r="D107" s="5" t="s">
        <v>810</v>
      </c>
      <c r="E107" s="5" t="s">
        <v>870</v>
      </c>
      <c r="F107" s="5" t="n">
        <v>1</v>
      </c>
      <c r="G107" s="5"/>
      <c r="H107" s="5" t="s">
        <v>1033</v>
      </c>
      <c r="I107" s="5"/>
      <c r="J107" s="5" t="n">
        <f aca="false">IFERROR(INDEX('Glider Types'!$F:$F,MATCH(D107,'Glider Types'!$A:$A,0)),"")</f>
        <v>40.5</v>
      </c>
      <c r="K107" s="5" t="n">
        <f aca="false">IFERROR(INDEX('Glider Types'!$G:$G,MATCH(D107,'Glider Types'!$A:$A,0)),"")</f>
        <v>54</v>
      </c>
      <c r="L107" s="5" t="n">
        <f aca="false">IFERROR(INDEX('Glider Types'!$H:$H,MATCH(D107,'Glider Types'!$A:$A,0)),"")</f>
        <v>118</v>
      </c>
      <c r="M107" s="5" t="n">
        <f aca="false">IFERROR(INDEX('Glider Types'!$I:$I,MATCH(D107,'Glider Types'!$A:$A,0)),"")</f>
        <v>146</v>
      </c>
      <c r="N107" s="13"/>
      <c r="O107" s="13"/>
      <c r="P107" s="13"/>
    </row>
    <row r="108" customFormat="false" ht="15" hidden="false" customHeight="false" outlineLevel="0" collapsed="false">
      <c r="A108" s="5" t="s">
        <v>340</v>
      </c>
      <c r="B108" s="5" t="s">
        <v>341</v>
      </c>
      <c r="C108" s="5" t="s">
        <v>985</v>
      </c>
      <c r="D108" s="5" t="s">
        <v>741</v>
      </c>
      <c r="E108" s="5" t="s">
        <v>870</v>
      </c>
      <c r="F108" s="5" t="n">
        <v>2</v>
      </c>
      <c r="G108" s="5"/>
      <c r="H108" s="5" t="s">
        <v>435</v>
      </c>
      <c r="I108" s="5" t="s">
        <v>744</v>
      </c>
      <c r="J108" s="5" t="n">
        <f aca="false">IFERROR(INDEX('Glider Types'!$F:$F,MATCH(D108,'Glider Types'!$A:$A,0)),"")</f>
        <v>23</v>
      </c>
      <c r="K108" s="5" t="n">
        <f aca="false">IFERROR(INDEX('Glider Types'!$G:$G,MATCH(D108,'Glider Types'!$A:$A,0)),"")</f>
        <v>39</v>
      </c>
      <c r="L108" s="5" t="n">
        <f aca="false">IFERROR(INDEX('Glider Types'!$H:$H,MATCH(D108,'Glider Types'!$A:$A,0)),"")</f>
        <v>185</v>
      </c>
      <c r="M108" s="5" t="n">
        <f aca="false">IFERROR(INDEX('Glider Types'!$I:$I,MATCH(D108,'Glider Types'!$A:$A,0)),"")</f>
        <v>85</v>
      </c>
      <c r="N108" s="13"/>
      <c r="O108" s="13"/>
      <c r="P108" s="13"/>
    </row>
    <row r="109" customFormat="false" ht="15" hidden="false" customHeight="false" outlineLevel="0" collapsed="false">
      <c r="A109" s="5" t="s">
        <v>340</v>
      </c>
      <c r="B109" s="5" t="s">
        <v>341</v>
      </c>
      <c r="C109" s="5" t="s">
        <v>821</v>
      </c>
      <c r="D109" s="5" t="s">
        <v>820</v>
      </c>
      <c r="E109" s="5" t="s">
        <v>870</v>
      </c>
      <c r="F109" s="5" t="n">
        <v>2</v>
      </c>
      <c r="G109" s="5"/>
      <c r="H109" s="5" t="s">
        <v>435</v>
      </c>
      <c r="I109" s="5" t="s">
        <v>1035</v>
      </c>
      <c r="J109" s="5" t="n">
        <f aca="false">IFERROR(INDEX('Glider Types'!$F:$F,MATCH(D109,'Glider Types'!$A:$A,0)),"")</f>
        <v>45</v>
      </c>
      <c r="K109" s="5" t="n">
        <f aca="false">IFERROR(INDEX('Glider Types'!$G:$G,MATCH(D109,'Glider Types'!$A:$A,0)),"")</f>
        <v>54</v>
      </c>
      <c r="L109" s="5" t="n">
        <f aca="false">IFERROR(INDEX('Glider Types'!$H:$H,MATCH(D109,'Glider Types'!$A:$A,0)),"")</f>
        <v>108</v>
      </c>
      <c r="M109" s="5" t="n">
        <f aca="false">IFERROR(INDEX('Glider Types'!$I:$I,MATCH(D109,'Glider Types'!$A:$A,0)),"")</f>
        <v>135</v>
      </c>
      <c r="N109" s="13"/>
      <c r="O109" s="13"/>
      <c r="P109" s="13"/>
    </row>
    <row r="110" customFormat="false" ht="15" hidden="false" customHeight="false" outlineLevel="0" collapsed="false">
      <c r="A110" s="5" t="s">
        <v>340</v>
      </c>
      <c r="B110" s="5" t="s">
        <v>341</v>
      </c>
      <c r="C110" s="5" t="s">
        <v>1036</v>
      </c>
      <c r="D110" s="5" t="s">
        <v>754</v>
      </c>
      <c r="E110" s="5" t="s">
        <v>870</v>
      </c>
      <c r="F110" s="5" t="n">
        <v>1</v>
      </c>
      <c r="G110" s="5"/>
      <c r="H110" s="5" t="s">
        <v>435</v>
      </c>
      <c r="I110" s="5" t="s">
        <v>796</v>
      </c>
      <c r="J110" s="5" t="n">
        <f aca="false">IFERROR(INDEX('Glider Types'!$F:$F,MATCH(D110,'Glider Types'!$A:$A,0)),"")</f>
        <v>23</v>
      </c>
      <c r="K110" s="5" t="n">
        <f aca="false">IFERROR(INDEX('Glider Types'!$G:$G,MATCH(D110,'Glider Types'!$A:$A,0)),"")</f>
        <v>46</v>
      </c>
      <c r="L110" s="5" t="n">
        <f aca="false">IFERROR(INDEX('Glider Types'!$H:$H,MATCH(D110,'Glider Types'!$A:$A,0)),"")</f>
        <v>161</v>
      </c>
      <c r="M110" s="5" t="n">
        <f aca="false">IFERROR(INDEX('Glider Types'!$I:$I,MATCH(D110,'Glider Types'!$A:$A,0)),"")</f>
        <v>99</v>
      </c>
      <c r="N110" s="13"/>
      <c r="O110" s="13"/>
      <c r="P110" s="13"/>
    </row>
    <row r="111" customFormat="false" ht="15" hidden="false" customHeight="false" outlineLevel="0" collapsed="false">
      <c r="A111" s="5" t="s">
        <v>350</v>
      </c>
      <c r="B111" s="5" t="s">
        <v>351</v>
      </c>
      <c r="C111" s="5" t="s">
        <v>1037</v>
      </c>
      <c r="D111" s="5" t="s">
        <v>797</v>
      </c>
      <c r="E111" s="5" t="s">
        <v>870</v>
      </c>
      <c r="F111" s="5" t="n">
        <v>2</v>
      </c>
      <c r="G111" s="5" t="s">
        <v>1038</v>
      </c>
      <c r="H111" s="5" t="s">
        <v>864</v>
      </c>
      <c r="I111" s="5" t="s">
        <v>744</v>
      </c>
      <c r="J111" s="5" t="n">
        <f aca="false">IFERROR(INDEX('Glider Types'!$F:$F,MATCH(D111,'Glider Types'!$A:$A,0)),"")</f>
        <v>36.5</v>
      </c>
      <c r="K111" s="5" t="n">
        <f aca="false">IFERROR(INDEX('Glider Types'!$G:$G,MATCH(D111,'Glider Types'!$A:$A,0)),"")</f>
        <v>57</v>
      </c>
      <c r="L111" s="5" t="n">
        <f aca="false">IFERROR(INDEX('Glider Types'!$H:$H,MATCH(D111,'Glider Types'!$A:$A,0)),"")</f>
        <v>122</v>
      </c>
      <c r="M111" s="5" t="n">
        <f aca="false">IFERROR(INDEX('Glider Types'!$I:$I,MATCH(D111,'Glider Types'!$A:$A,0)),"")</f>
        <v>135</v>
      </c>
      <c r="N111" s="13"/>
      <c r="O111" s="13"/>
      <c r="P111" s="13"/>
    </row>
    <row r="112" customFormat="false" ht="15" hidden="false" customHeight="false" outlineLevel="0" collapsed="false">
      <c r="A112" s="5" t="s">
        <v>350</v>
      </c>
      <c r="B112" s="5" t="s">
        <v>351</v>
      </c>
      <c r="C112" s="5" t="s">
        <v>1039</v>
      </c>
      <c r="D112" s="5" t="s">
        <v>803</v>
      </c>
      <c r="E112" s="5" t="s">
        <v>870</v>
      </c>
      <c r="F112" s="5" t="n">
        <v>1</v>
      </c>
      <c r="G112" s="5" t="s">
        <v>1038</v>
      </c>
      <c r="H112" s="5" t="s">
        <v>864</v>
      </c>
      <c r="I112" s="5"/>
      <c r="J112" s="5" t="n">
        <f aca="false">IFERROR(INDEX('Glider Types'!$F:$F,MATCH(D112,'Glider Types'!$A:$A,0)),"")</f>
        <v>37</v>
      </c>
      <c r="K112" s="5" t="n">
        <f aca="false">IFERROR(INDEX('Glider Types'!$G:$G,MATCH(D112,'Glider Types'!$A:$A,0)),"")</f>
        <v>51</v>
      </c>
      <c r="L112" s="5" t="n">
        <f aca="false">IFERROR(INDEX('Glider Types'!$H:$H,MATCH(D112,'Glider Types'!$A:$A,0)),"")</f>
        <v>122</v>
      </c>
      <c r="M112" s="5" t="n">
        <f aca="false">IFERROR(INDEX('Glider Types'!$I:$I,MATCH(D112,'Glider Types'!$A:$A,0)),"")</f>
        <v>135</v>
      </c>
      <c r="N112" s="13"/>
      <c r="O112" s="13"/>
      <c r="P112" s="13"/>
    </row>
    <row r="113" customFormat="false" ht="23.85" hidden="false" customHeight="false" outlineLevel="0" collapsed="false">
      <c r="A113" s="5" t="s">
        <v>366</v>
      </c>
      <c r="B113" s="5" t="s">
        <v>367</v>
      </c>
      <c r="C113" s="5" t="s">
        <v>1022</v>
      </c>
      <c r="D113" s="5" t="s">
        <v>779</v>
      </c>
      <c r="E113" s="5" t="s">
        <v>870</v>
      </c>
      <c r="F113" s="5" t="n">
        <v>2</v>
      </c>
      <c r="G113" s="5"/>
      <c r="H113" s="5" t="s">
        <v>864</v>
      </c>
      <c r="I113" s="5" t="s">
        <v>967</v>
      </c>
      <c r="J113" s="5" t="n">
        <f aca="false">IFERROR(INDEX('Glider Types'!$F:$F,MATCH(D113,'Glider Types'!$A:$A,0)),"")</f>
        <v>34</v>
      </c>
      <c r="K113" s="5" t="n">
        <f aca="false">IFERROR(INDEX('Glider Types'!$G:$G,MATCH(D113,'Glider Types'!$A:$A,0)),"")</f>
        <v>49</v>
      </c>
      <c r="L113" s="5" t="n">
        <f aca="false">IFERROR(INDEX('Glider Types'!$H:$H,MATCH(D113,'Glider Types'!$A:$A,0)),"")</f>
        <v>128</v>
      </c>
      <c r="M113" s="5" t="n">
        <f aca="false">IFERROR(INDEX('Glider Types'!$I:$I,MATCH(D113,'Glider Types'!$A:$A,0)),"")</f>
        <v>151</v>
      </c>
      <c r="N113" s="13"/>
      <c r="O113" s="13"/>
      <c r="P113" s="13"/>
    </row>
    <row r="114" customFormat="false" ht="23.85" hidden="false" customHeight="false" outlineLevel="0" collapsed="false">
      <c r="A114" s="5" t="s">
        <v>366</v>
      </c>
      <c r="B114" s="5" t="s">
        <v>367</v>
      </c>
      <c r="C114" s="5" t="s">
        <v>818</v>
      </c>
      <c r="D114" s="5" t="s">
        <v>817</v>
      </c>
      <c r="E114" s="5" t="s">
        <v>870</v>
      </c>
      <c r="F114" s="5" t="n">
        <v>1</v>
      </c>
      <c r="G114" s="5"/>
      <c r="H114" s="5" t="s">
        <v>864</v>
      </c>
      <c r="I114" s="5"/>
      <c r="J114" s="5" t="n">
        <f aca="false">IFERROR(INDEX('Glider Types'!$F:$F,MATCH(D114,'Glider Types'!$A:$A,0)),"")</f>
        <v>42</v>
      </c>
      <c r="K114" s="5" t="n">
        <f aca="false">IFERROR(INDEX('Glider Types'!$G:$G,MATCH(D114,'Glider Types'!$A:$A,0)),"")</f>
        <v>54</v>
      </c>
      <c r="L114" s="5" t="n">
        <f aca="false">IFERROR(INDEX('Glider Types'!$H:$H,MATCH(D114,'Glider Types'!$A:$A,0)),"")</f>
        <v>116</v>
      </c>
      <c r="M114" s="5" t="n">
        <f aca="false">IFERROR(INDEX('Glider Types'!$I:$I,MATCH(D114,'Glider Types'!$A:$A,0)),"")</f>
        <v>135</v>
      </c>
      <c r="N114" s="13"/>
      <c r="O114" s="13"/>
      <c r="P114" s="13"/>
    </row>
    <row r="115" customFormat="false" ht="23.85" hidden="false" customHeight="false" outlineLevel="0" collapsed="false">
      <c r="A115" s="5" t="s">
        <v>366</v>
      </c>
      <c r="B115" s="5" t="s">
        <v>367</v>
      </c>
      <c r="C115" s="5" t="s">
        <v>1011</v>
      </c>
      <c r="D115" s="5" t="s">
        <v>803</v>
      </c>
      <c r="E115" s="5" t="s">
        <v>870</v>
      </c>
      <c r="F115" s="5" t="n">
        <v>1</v>
      </c>
      <c r="G115" s="5"/>
      <c r="H115" s="5" t="s">
        <v>864</v>
      </c>
      <c r="I115" s="5"/>
      <c r="J115" s="5" t="n">
        <f aca="false">IFERROR(INDEX('Glider Types'!$F:$F,MATCH(D115,'Glider Types'!$A:$A,0)),"")</f>
        <v>37</v>
      </c>
      <c r="K115" s="5" t="n">
        <f aca="false">IFERROR(INDEX('Glider Types'!$G:$G,MATCH(D115,'Glider Types'!$A:$A,0)),"")</f>
        <v>51</v>
      </c>
      <c r="L115" s="5" t="n">
        <f aca="false">IFERROR(INDEX('Glider Types'!$H:$H,MATCH(D115,'Glider Types'!$A:$A,0)),"")</f>
        <v>122</v>
      </c>
      <c r="M115" s="5" t="n">
        <f aca="false">IFERROR(INDEX('Glider Types'!$I:$I,MATCH(D115,'Glider Types'!$A:$A,0)),"")</f>
        <v>135</v>
      </c>
      <c r="N115" s="13"/>
      <c r="O115" s="13"/>
      <c r="P115" s="13"/>
    </row>
    <row r="116" customFormat="false" ht="15" hidden="false" customHeight="false" outlineLevel="0" collapsed="false">
      <c r="A116" s="5" t="s">
        <v>328</v>
      </c>
      <c r="B116" s="5" t="s">
        <v>329</v>
      </c>
      <c r="C116" s="5" t="s">
        <v>867</v>
      </c>
      <c r="D116" s="5" t="s">
        <v>741</v>
      </c>
      <c r="E116" s="5" t="s">
        <v>870</v>
      </c>
      <c r="F116" s="5" t="n">
        <v>2</v>
      </c>
      <c r="G116" s="5" t="s">
        <v>1040</v>
      </c>
      <c r="H116" s="5" t="s">
        <v>883</v>
      </c>
      <c r="I116" s="5" t="s">
        <v>1041</v>
      </c>
      <c r="J116" s="5" t="n">
        <f aca="false">IFERROR(INDEX('Glider Types'!$F:$F,MATCH(D116,'Glider Types'!$A:$A,0)),"")</f>
        <v>23</v>
      </c>
      <c r="K116" s="5" t="n">
        <f aca="false">IFERROR(INDEX('Glider Types'!$G:$G,MATCH(D116,'Glider Types'!$A:$A,0)),"")</f>
        <v>39</v>
      </c>
      <c r="L116" s="5" t="n">
        <f aca="false">IFERROR(INDEX('Glider Types'!$H:$H,MATCH(D116,'Glider Types'!$A:$A,0)),"")</f>
        <v>185</v>
      </c>
      <c r="M116" s="5" t="n">
        <f aca="false">IFERROR(INDEX('Glider Types'!$I:$I,MATCH(D116,'Glider Types'!$A:$A,0)),"")</f>
        <v>85</v>
      </c>
      <c r="N116" s="13"/>
      <c r="O116" s="13"/>
      <c r="P116" s="13"/>
    </row>
    <row r="117" customFormat="false" ht="15" hidden="false" customHeight="false" outlineLevel="0" collapsed="false">
      <c r="A117" s="5" t="s">
        <v>328</v>
      </c>
      <c r="B117" s="5" t="s">
        <v>329</v>
      </c>
      <c r="C117" s="5" t="s">
        <v>791</v>
      </c>
      <c r="D117" s="5" t="s">
        <v>790</v>
      </c>
      <c r="E117" s="5" t="s">
        <v>870</v>
      </c>
      <c r="F117" s="5" t="n">
        <v>2</v>
      </c>
      <c r="G117" s="5" t="s">
        <v>1042</v>
      </c>
      <c r="H117" s="5" t="s">
        <v>883</v>
      </c>
      <c r="I117" s="5" t="s">
        <v>1043</v>
      </c>
      <c r="J117" s="5" t="n">
        <f aca="false">IFERROR(INDEX('Glider Types'!$F:$F,MATCH(D117,'Glider Types'!$A:$A,0)),"")</f>
        <v>34</v>
      </c>
      <c r="K117" s="5" t="n">
        <f aca="false">IFERROR(INDEX('Glider Types'!$G:$G,MATCH(D117,'Glider Types'!$A:$A,0)),"")</f>
        <v>51</v>
      </c>
      <c r="L117" s="5" t="n">
        <f aca="false">IFERROR(INDEX('Glider Types'!$H:$H,MATCH(D117,'Glider Types'!$A:$A,0)),"")</f>
        <v>146</v>
      </c>
      <c r="M117" s="5" t="n">
        <f aca="false">IFERROR(INDEX('Glider Types'!$I:$I,MATCH(D117,'Glider Types'!$A:$A,0)),"")</f>
        <v>140</v>
      </c>
      <c r="N117" s="13"/>
      <c r="O117" s="13"/>
      <c r="P117" s="13"/>
    </row>
    <row r="118" customFormat="false" ht="15" hidden="false" customHeight="false" outlineLevel="0" collapsed="false">
      <c r="A118" s="5" t="s">
        <v>328</v>
      </c>
      <c r="B118" s="5" t="s">
        <v>329</v>
      </c>
      <c r="C118" s="5" t="s">
        <v>879</v>
      </c>
      <c r="D118" s="5" t="s">
        <v>754</v>
      </c>
      <c r="E118" s="5" t="s">
        <v>870</v>
      </c>
      <c r="F118" s="5" t="n">
        <v>1</v>
      </c>
      <c r="G118" s="5" t="s">
        <v>1044</v>
      </c>
      <c r="H118" s="5" t="s">
        <v>883</v>
      </c>
      <c r="I118" s="5" t="s">
        <v>789</v>
      </c>
      <c r="J118" s="5" t="n">
        <f aca="false">IFERROR(INDEX('Glider Types'!$F:$F,MATCH(D118,'Glider Types'!$A:$A,0)),"")</f>
        <v>23</v>
      </c>
      <c r="K118" s="5" t="n">
        <f aca="false">IFERROR(INDEX('Glider Types'!$G:$G,MATCH(D118,'Glider Types'!$A:$A,0)),"")</f>
        <v>46</v>
      </c>
      <c r="L118" s="5" t="n">
        <f aca="false">IFERROR(INDEX('Glider Types'!$H:$H,MATCH(D118,'Glider Types'!$A:$A,0)),"")</f>
        <v>161</v>
      </c>
      <c r="M118" s="5" t="n">
        <f aca="false">IFERROR(INDEX('Glider Types'!$I:$I,MATCH(D118,'Glider Types'!$A:$A,0)),"")</f>
        <v>99</v>
      </c>
      <c r="N118" s="13"/>
      <c r="O118" s="13"/>
      <c r="P118" s="13"/>
    </row>
    <row r="119" customFormat="false" ht="15" hidden="false" customHeight="false" outlineLevel="0" collapsed="false">
      <c r="A119" s="5" t="s">
        <v>328</v>
      </c>
      <c r="B119" s="5" t="s">
        <v>329</v>
      </c>
      <c r="C119" s="5" t="s">
        <v>1028</v>
      </c>
      <c r="D119" s="5" t="s">
        <v>793</v>
      </c>
      <c r="E119" s="5" t="s">
        <v>870</v>
      </c>
      <c r="F119" s="5" t="n">
        <v>1</v>
      </c>
      <c r="G119" s="5" t="s">
        <v>1040</v>
      </c>
      <c r="H119" s="5" t="s">
        <v>883</v>
      </c>
      <c r="I119" s="5" t="s">
        <v>796</v>
      </c>
      <c r="J119" s="5" t="n">
        <f aca="false">IFERROR(INDEX('Glider Types'!$F:$F,MATCH(D119,'Glider Types'!$A:$A,0)),"")</f>
        <v>33</v>
      </c>
      <c r="K119" s="5" t="n">
        <f aca="false">IFERROR(INDEX('Glider Types'!$G:$G,MATCH(D119,'Glider Types'!$A:$A,0)),"")</f>
        <v>43</v>
      </c>
      <c r="L119" s="5" t="n">
        <f aca="false">IFERROR(INDEX('Glider Types'!$H:$H,MATCH(D119,'Glider Types'!$A:$A,0)),"")</f>
        <v>126</v>
      </c>
      <c r="M119" s="5" t="n">
        <f aca="false">IFERROR(INDEX('Glider Types'!$I:$I,MATCH(D119,'Glider Types'!$A:$A,0)),"")</f>
        <v>119</v>
      </c>
      <c r="N119" s="13"/>
      <c r="O119" s="13"/>
      <c r="P119" s="13"/>
    </row>
    <row r="120" customFormat="false" ht="15" hidden="false" customHeight="false" outlineLevel="0" collapsed="false">
      <c r="A120" s="5" t="s">
        <v>328</v>
      </c>
      <c r="B120" s="5" t="s">
        <v>329</v>
      </c>
      <c r="C120" s="5" t="s">
        <v>953</v>
      </c>
      <c r="D120" s="5" t="s">
        <v>746</v>
      </c>
      <c r="E120" s="5" t="s">
        <v>870</v>
      </c>
      <c r="F120" s="5" t="n">
        <v>2</v>
      </c>
      <c r="G120" s="5" t="s">
        <v>1042</v>
      </c>
      <c r="H120" s="5" t="s">
        <v>1045</v>
      </c>
      <c r="I120" s="5" t="s">
        <v>1046</v>
      </c>
      <c r="J120" s="5" t="n">
        <f aca="false">IFERROR(INDEX('Glider Types'!$F:$F,MATCH(D120,'Glider Types'!$A:$A,0)),"")</f>
        <v>34</v>
      </c>
      <c r="K120" s="5" t="n">
        <f aca="false">IFERROR(INDEX('Glider Types'!$G:$G,MATCH(D120,'Glider Types'!$A:$A,0)),"")</f>
        <v>51</v>
      </c>
      <c r="L120" s="5" t="n">
        <f aca="false">IFERROR(INDEX('Glider Types'!$H:$H,MATCH(D120,'Glider Types'!$A:$A,0)),"")</f>
        <v>144</v>
      </c>
      <c r="M120" s="5" t="n">
        <f aca="false">IFERROR(INDEX('Glider Types'!$I:$I,MATCH(D120,'Glider Types'!$A:$A,0)),"")</f>
        <v>137</v>
      </c>
      <c r="N120" s="13"/>
      <c r="O120" s="13"/>
      <c r="P120" s="13"/>
    </row>
    <row r="121" customFormat="false" ht="23.85" hidden="false" customHeight="false" outlineLevel="0" collapsed="false">
      <c r="A121" s="5" t="s">
        <v>374</v>
      </c>
      <c r="B121" s="5" t="s">
        <v>375</v>
      </c>
      <c r="C121" s="5" t="s">
        <v>780</v>
      </c>
      <c r="D121" s="5" t="s">
        <v>779</v>
      </c>
      <c r="E121" s="5" t="s">
        <v>1047</v>
      </c>
      <c r="F121" s="5" t="n">
        <v>2</v>
      </c>
      <c r="G121" s="5"/>
      <c r="H121" s="5" t="s">
        <v>864</v>
      </c>
      <c r="I121" s="5" t="s">
        <v>967</v>
      </c>
      <c r="J121" s="5" t="n">
        <f aca="false">IFERROR(INDEX('Glider Types'!$F:$F,MATCH(D121,'Glider Types'!$A:$A,0)),"")</f>
        <v>34</v>
      </c>
      <c r="K121" s="5" t="n">
        <f aca="false">IFERROR(INDEX('Glider Types'!$G:$G,MATCH(D121,'Glider Types'!$A:$A,0)),"")</f>
        <v>49</v>
      </c>
      <c r="L121" s="5" t="n">
        <f aca="false">IFERROR(INDEX('Glider Types'!$H:$H,MATCH(D121,'Glider Types'!$A:$A,0)),"")</f>
        <v>128</v>
      </c>
      <c r="M121" s="5" t="n">
        <f aca="false">IFERROR(INDEX('Glider Types'!$I:$I,MATCH(D121,'Glider Types'!$A:$A,0)),"")</f>
        <v>151</v>
      </c>
      <c r="N121" s="13"/>
      <c r="O121" s="13"/>
      <c r="P121" s="13"/>
    </row>
    <row r="122" customFormat="false" ht="23.85" hidden="false" customHeight="false" outlineLevel="0" collapsed="false">
      <c r="A122" s="5" t="s">
        <v>374</v>
      </c>
      <c r="B122" s="5" t="s">
        <v>375</v>
      </c>
      <c r="C122" s="5" t="s">
        <v>780</v>
      </c>
      <c r="D122" s="5" t="s">
        <v>779</v>
      </c>
      <c r="E122" s="5" t="s">
        <v>1048</v>
      </c>
      <c r="F122" s="5" t="n">
        <v>2</v>
      </c>
      <c r="G122" s="5"/>
      <c r="H122" s="5" t="s">
        <v>864</v>
      </c>
      <c r="I122" s="5" t="s">
        <v>967</v>
      </c>
      <c r="J122" s="5" t="n">
        <f aca="false">IFERROR(INDEX('Glider Types'!$F:$F,MATCH(D122,'Glider Types'!$A:$A,0)),"")</f>
        <v>34</v>
      </c>
      <c r="K122" s="5" t="n">
        <f aca="false">IFERROR(INDEX('Glider Types'!$G:$G,MATCH(D122,'Glider Types'!$A:$A,0)),"")</f>
        <v>49</v>
      </c>
      <c r="L122" s="5" t="n">
        <f aca="false">IFERROR(INDEX('Glider Types'!$H:$H,MATCH(D122,'Glider Types'!$A:$A,0)),"")</f>
        <v>128</v>
      </c>
      <c r="M122" s="5" t="n">
        <f aca="false">IFERROR(INDEX('Glider Types'!$I:$I,MATCH(D122,'Glider Types'!$A:$A,0)),"")</f>
        <v>151</v>
      </c>
      <c r="N122" s="13"/>
      <c r="O122" s="13"/>
      <c r="P122" s="13"/>
    </row>
    <row r="123" customFormat="false" ht="23.85" hidden="false" customHeight="false" outlineLevel="0" collapsed="false">
      <c r="A123" s="5" t="s">
        <v>374</v>
      </c>
      <c r="B123" s="5" t="s">
        <v>375</v>
      </c>
      <c r="C123" s="5" t="s">
        <v>811</v>
      </c>
      <c r="D123" s="5" t="s">
        <v>810</v>
      </c>
      <c r="E123" s="5" t="s">
        <v>1049</v>
      </c>
      <c r="F123" s="5" t="n">
        <v>1</v>
      </c>
      <c r="G123" s="5"/>
      <c r="H123" s="5" t="s">
        <v>864</v>
      </c>
      <c r="I123" s="5"/>
      <c r="J123" s="5" t="n">
        <f aca="false">IFERROR(INDEX('Glider Types'!$F:$F,MATCH(D123,'Glider Types'!$A:$A,0)),"")</f>
        <v>40.5</v>
      </c>
      <c r="K123" s="5" t="n">
        <f aca="false">IFERROR(INDEX('Glider Types'!$G:$G,MATCH(D123,'Glider Types'!$A:$A,0)),"")</f>
        <v>54</v>
      </c>
      <c r="L123" s="5" t="n">
        <f aca="false">IFERROR(INDEX('Glider Types'!$H:$H,MATCH(D123,'Glider Types'!$A:$A,0)),"")</f>
        <v>118</v>
      </c>
      <c r="M123" s="5" t="n">
        <f aca="false">IFERROR(INDEX('Glider Types'!$I:$I,MATCH(D123,'Glider Types'!$A:$A,0)),"")</f>
        <v>146</v>
      </c>
      <c r="N123" s="13"/>
      <c r="O123" s="13"/>
      <c r="P123" s="13"/>
    </row>
    <row r="124" customFormat="false" ht="15" hidden="false" customHeight="false" outlineLevel="0" collapsed="false">
      <c r="A124" s="5" t="s">
        <v>393</v>
      </c>
      <c r="B124" s="5" t="s">
        <v>394</v>
      </c>
      <c r="C124" s="5" t="s">
        <v>867</v>
      </c>
      <c r="D124" s="5" t="s">
        <v>741</v>
      </c>
      <c r="E124" s="5" t="s">
        <v>870</v>
      </c>
      <c r="F124" s="5" t="n">
        <v>2</v>
      </c>
      <c r="G124" s="5" t="s">
        <v>1050</v>
      </c>
      <c r="H124" s="5" t="s">
        <v>864</v>
      </c>
      <c r="I124" s="5" t="s">
        <v>744</v>
      </c>
      <c r="J124" s="5" t="n">
        <f aca="false">IFERROR(INDEX('Glider Types'!$F:$F,MATCH(D124,'Glider Types'!$A:$A,0)),"")</f>
        <v>23</v>
      </c>
      <c r="K124" s="5" t="n">
        <f aca="false">IFERROR(INDEX('Glider Types'!$G:$G,MATCH(D124,'Glider Types'!$A:$A,0)),"")</f>
        <v>39</v>
      </c>
      <c r="L124" s="5" t="n">
        <f aca="false">IFERROR(INDEX('Glider Types'!$H:$H,MATCH(D124,'Glider Types'!$A:$A,0)),"")</f>
        <v>185</v>
      </c>
      <c r="M124" s="5" t="n">
        <f aca="false">IFERROR(INDEX('Glider Types'!$I:$I,MATCH(D124,'Glider Types'!$A:$A,0)),"")</f>
        <v>85</v>
      </c>
      <c r="N124" s="13"/>
      <c r="O124" s="13"/>
      <c r="P124" s="13"/>
    </row>
    <row r="125" customFormat="false" ht="23.85" hidden="false" customHeight="false" outlineLevel="0" collapsed="false">
      <c r="A125" s="5" t="s">
        <v>393</v>
      </c>
      <c r="B125" s="5" t="s">
        <v>394</v>
      </c>
      <c r="C125" s="5" t="s">
        <v>1051</v>
      </c>
      <c r="D125" s="5" t="s">
        <v>844</v>
      </c>
      <c r="E125" s="5" t="s">
        <v>870</v>
      </c>
      <c r="F125" s="5" t="n">
        <v>2</v>
      </c>
      <c r="G125" s="5" t="s">
        <v>1050</v>
      </c>
      <c r="H125" s="5" t="s">
        <v>864</v>
      </c>
      <c r="I125" s="5" t="s">
        <v>744</v>
      </c>
      <c r="J125" s="5" t="n">
        <f aca="false">IFERROR(INDEX('Glider Types'!$F:$F,MATCH(D125,'Glider Types'!$A:$A,0)),"")</f>
        <v>30</v>
      </c>
      <c r="K125" s="5" t="n">
        <f aca="false">IFERROR(INDEX('Glider Types'!$G:$G,MATCH(D125,'Glider Types'!$A:$A,0)),"")</f>
        <v>46</v>
      </c>
      <c r="L125" s="5" t="n">
        <f aca="false">IFERROR(INDEX('Glider Types'!$H:$H,MATCH(D125,'Glider Types'!$A:$A,0)),"")</f>
        <v>138</v>
      </c>
      <c r="M125" s="5" t="n">
        <f aca="false">IFERROR(INDEX('Glider Types'!$I:$I,MATCH(D125,'Glider Types'!$A:$A,0)),"")</f>
        <v>116</v>
      </c>
      <c r="N125" s="13"/>
      <c r="O125" s="13"/>
      <c r="P125" s="13"/>
    </row>
    <row r="126" customFormat="false" ht="15" hidden="false" customHeight="false" outlineLevel="0" collapsed="false">
      <c r="A126" s="5" t="s">
        <v>393</v>
      </c>
      <c r="B126" s="5" t="s">
        <v>394</v>
      </c>
      <c r="C126" s="5" t="s">
        <v>1028</v>
      </c>
      <c r="D126" s="5" t="s">
        <v>793</v>
      </c>
      <c r="E126" s="5" t="s">
        <v>870</v>
      </c>
      <c r="F126" s="5" t="n">
        <v>1</v>
      </c>
      <c r="G126" s="5" t="s">
        <v>1050</v>
      </c>
      <c r="H126" s="5" t="s">
        <v>864</v>
      </c>
      <c r="I126" s="5"/>
      <c r="J126" s="5" t="n">
        <f aca="false">IFERROR(INDEX('Glider Types'!$F:$F,MATCH(D126,'Glider Types'!$A:$A,0)),"")</f>
        <v>33</v>
      </c>
      <c r="K126" s="5" t="n">
        <f aca="false">IFERROR(INDEX('Glider Types'!$G:$G,MATCH(D126,'Glider Types'!$A:$A,0)),"")</f>
        <v>43</v>
      </c>
      <c r="L126" s="5" t="n">
        <f aca="false">IFERROR(INDEX('Glider Types'!$H:$H,MATCH(D126,'Glider Types'!$A:$A,0)),"")</f>
        <v>126</v>
      </c>
      <c r="M126" s="5" t="n">
        <f aca="false">IFERROR(INDEX('Glider Types'!$I:$I,MATCH(D126,'Glider Types'!$A:$A,0)),"")</f>
        <v>119</v>
      </c>
      <c r="N126" s="13"/>
      <c r="O126" s="13"/>
      <c r="P126" s="13"/>
    </row>
    <row r="127" customFormat="false" ht="15" hidden="false" customHeight="false" outlineLevel="0" collapsed="false">
      <c r="A127" s="5" t="s">
        <v>393</v>
      </c>
      <c r="B127" s="5" t="s">
        <v>394</v>
      </c>
      <c r="C127" s="5" t="s">
        <v>1052</v>
      </c>
      <c r="D127" s="5" t="s">
        <v>758</v>
      </c>
      <c r="E127" s="5" t="s">
        <v>870</v>
      </c>
      <c r="F127" s="5" t="n">
        <v>1</v>
      </c>
      <c r="G127" s="5" t="s">
        <v>1050</v>
      </c>
      <c r="H127" s="5" t="s">
        <v>864</v>
      </c>
      <c r="I127" s="5"/>
      <c r="J127" s="5" t="n">
        <f aca="false">IFERROR(INDEX('Glider Types'!$F:$F,MATCH(D127,'Glider Types'!$A:$A,0)),"")</f>
        <v>34</v>
      </c>
      <c r="K127" s="5" t="n">
        <f aca="false">IFERROR(INDEX('Glider Types'!$G:$G,MATCH(D127,'Glider Types'!$A:$A,0)),"")</f>
        <v>46</v>
      </c>
      <c r="L127" s="5" t="n">
        <f aca="false">IFERROR(INDEX('Glider Types'!$H:$H,MATCH(D127,'Glider Types'!$A:$A,0)),"")</f>
        <v>132</v>
      </c>
      <c r="M127" s="5" t="n">
        <f aca="false">IFERROR(INDEX('Glider Types'!$I:$I,MATCH(D127,'Glider Types'!$A:$A,0)),"")</f>
        <v>114</v>
      </c>
      <c r="N127" s="13"/>
      <c r="O127" s="13"/>
      <c r="P127" s="13"/>
    </row>
    <row r="128" customFormat="false" ht="15" hidden="false" customHeight="false" outlineLevel="0" collapsed="false">
      <c r="A128" s="5" t="s">
        <v>401</v>
      </c>
      <c r="B128" s="5" t="s">
        <v>402</v>
      </c>
      <c r="C128" s="5" t="s">
        <v>1022</v>
      </c>
      <c r="D128" s="5" t="s">
        <v>779</v>
      </c>
      <c r="E128" s="5" t="s">
        <v>870</v>
      </c>
      <c r="F128" s="5" t="n">
        <v>2</v>
      </c>
      <c r="G128" s="5" t="s">
        <v>1053</v>
      </c>
      <c r="H128" s="5" t="s">
        <v>864</v>
      </c>
      <c r="I128" s="5" t="s">
        <v>967</v>
      </c>
      <c r="J128" s="5" t="n">
        <f aca="false">IFERROR(INDEX('Glider Types'!$F:$F,MATCH(D128,'Glider Types'!$A:$A,0)),"")</f>
        <v>34</v>
      </c>
      <c r="K128" s="5" t="n">
        <f aca="false">IFERROR(INDEX('Glider Types'!$G:$G,MATCH(D128,'Glider Types'!$A:$A,0)),"")</f>
        <v>49</v>
      </c>
      <c r="L128" s="5" t="n">
        <f aca="false">IFERROR(INDEX('Glider Types'!$H:$H,MATCH(D128,'Glider Types'!$A:$A,0)),"")</f>
        <v>128</v>
      </c>
      <c r="M128" s="5" t="n">
        <f aca="false">IFERROR(INDEX('Glider Types'!$I:$I,MATCH(D128,'Glider Types'!$A:$A,0)),"")</f>
        <v>151</v>
      </c>
      <c r="N128" s="13"/>
      <c r="O128" s="13"/>
      <c r="P128" s="13"/>
    </row>
    <row r="129" customFormat="false" ht="15" hidden="false" customHeight="false" outlineLevel="0" collapsed="false">
      <c r="A129" s="5" t="s">
        <v>401</v>
      </c>
      <c r="B129" s="5" t="s">
        <v>402</v>
      </c>
      <c r="C129" s="5" t="s">
        <v>821</v>
      </c>
      <c r="D129" s="5" t="s">
        <v>820</v>
      </c>
      <c r="E129" s="5" t="s">
        <v>870</v>
      </c>
      <c r="F129" s="5" t="n">
        <v>2</v>
      </c>
      <c r="G129" s="5" t="s">
        <v>1053</v>
      </c>
      <c r="H129" s="5" t="s">
        <v>864</v>
      </c>
      <c r="I129" s="5" t="s">
        <v>1035</v>
      </c>
      <c r="J129" s="5" t="n">
        <f aca="false">IFERROR(INDEX('Glider Types'!$F:$F,MATCH(D129,'Glider Types'!$A:$A,0)),"")</f>
        <v>45</v>
      </c>
      <c r="K129" s="5" t="n">
        <f aca="false">IFERROR(INDEX('Glider Types'!$G:$G,MATCH(D129,'Glider Types'!$A:$A,0)),"")</f>
        <v>54</v>
      </c>
      <c r="L129" s="5" t="n">
        <f aca="false">IFERROR(INDEX('Glider Types'!$H:$H,MATCH(D129,'Glider Types'!$A:$A,0)),"")</f>
        <v>108</v>
      </c>
      <c r="M129" s="5" t="n">
        <f aca="false">IFERROR(INDEX('Glider Types'!$I:$I,MATCH(D129,'Glider Types'!$A:$A,0)),"")</f>
        <v>135</v>
      </c>
      <c r="N129" s="13"/>
      <c r="O129" s="13"/>
      <c r="P129" s="13"/>
    </row>
    <row r="130" customFormat="false" ht="15" hidden="false" customHeight="false" outlineLevel="0" collapsed="false">
      <c r="A130" s="5" t="s">
        <v>401</v>
      </c>
      <c r="B130" s="5" t="s">
        <v>402</v>
      </c>
      <c r="C130" s="5" t="s">
        <v>818</v>
      </c>
      <c r="D130" s="5" t="s">
        <v>817</v>
      </c>
      <c r="E130" s="5" t="s">
        <v>870</v>
      </c>
      <c r="F130" s="5" t="n">
        <v>1</v>
      </c>
      <c r="G130" s="5" t="s">
        <v>1053</v>
      </c>
      <c r="H130" s="5" t="s">
        <v>864</v>
      </c>
      <c r="I130" s="5"/>
      <c r="J130" s="5" t="n">
        <f aca="false">IFERROR(INDEX('Glider Types'!$F:$F,MATCH(D130,'Glider Types'!$A:$A,0)),"")</f>
        <v>42</v>
      </c>
      <c r="K130" s="5" t="n">
        <f aca="false">IFERROR(INDEX('Glider Types'!$G:$G,MATCH(D130,'Glider Types'!$A:$A,0)),"")</f>
        <v>54</v>
      </c>
      <c r="L130" s="5" t="n">
        <f aca="false">IFERROR(INDEX('Glider Types'!$H:$H,MATCH(D130,'Glider Types'!$A:$A,0)),"")</f>
        <v>116</v>
      </c>
      <c r="M130" s="5" t="n">
        <f aca="false">IFERROR(INDEX('Glider Types'!$I:$I,MATCH(D130,'Glider Types'!$A:$A,0)),"")</f>
        <v>135</v>
      </c>
      <c r="N130" s="13"/>
      <c r="O130" s="13"/>
      <c r="P130" s="13"/>
    </row>
    <row r="131" customFormat="false" ht="15" hidden="false" customHeight="false" outlineLevel="0" collapsed="false">
      <c r="A131" s="5" t="s">
        <v>410</v>
      </c>
      <c r="B131" s="5" t="s">
        <v>411</v>
      </c>
      <c r="C131" s="5" t="s">
        <v>963</v>
      </c>
      <c r="D131" s="5" t="s">
        <v>779</v>
      </c>
      <c r="E131" s="5" t="s">
        <v>870</v>
      </c>
      <c r="F131" s="5" t="n">
        <v>2</v>
      </c>
      <c r="G131" s="5"/>
      <c r="H131" s="5" t="s">
        <v>864</v>
      </c>
      <c r="I131" s="5" t="s">
        <v>967</v>
      </c>
      <c r="J131" s="5" t="n">
        <f aca="false">IFERROR(INDEX('Glider Types'!$F:$F,MATCH(D131,'Glider Types'!$A:$A,0)),"")</f>
        <v>34</v>
      </c>
      <c r="K131" s="5" t="n">
        <f aca="false">IFERROR(INDEX('Glider Types'!$G:$G,MATCH(D131,'Glider Types'!$A:$A,0)),"")</f>
        <v>49</v>
      </c>
      <c r="L131" s="5" t="n">
        <f aca="false">IFERROR(INDEX('Glider Types'!$H:$H,MATCH(D131,'Glider Types'!$A:$A,0)),"")</f>
        <v>128</v>
      </c>
      <c r="M131" s="5" t="n">
        <f aca="false">IFERROR(INDEX('Glider Types'!$I:$I,MATCH(D131,'Glider Types'!$A:$A,0)),"")</f>
        <v>151</v>
      </c>
      <c r="N131" s="13"/>
      <c r="O131" s="13"/>
      <c r="P131" s="13"/>
    </row>
    <row r="132" customFormat="false" ht="15" hidden="false" customHeight="false" outlineLevel="0" collapsed="false">
      <c r="A132" s="5" t="s">
        <v>410</v>
      </c>
      <c r="B132" s="5" t="s">
        <v>411</v>
      </c>
      <c r="C132" s="5" t="s">
        <v>1054</v>
      </c>
      <c r="D132" s="5" t="s">
        <v>741</v>
      </c>
      <c r="E132" s="5" t="s">
        <v>870</v>
      </c>
      <c r="F132" s="5" t="n">
        <v>2</v>
      </c>
      <c r="G132" s="5"/>
      <c r="H132" s="5" t="s">
        <v>864</v>
      </c>
      <c r="I132" s="5" t="s">
        <v>744</v>
      </c>
      <c r="J132" s="5" t="n">
        <f aca="false">IFERROR(INDEX('Glider Types'!$F:$F,MATCH(D132,'Glider Types'!$A:$A,0)),"")</f>
        <v>23</v>
      </c>
      <c r="K132" s="5" t="n">
        <f aca="false">IFERROR(INDEX('Glider Types'!$G:$G,MATCH(D132,'Glider Types'!$A:$A,0)),"")</f>
        <v>39</v>
      </c>
      <c r="L132" s="5" t="n">
        <f aca="false">IFERROR(INDEX('Glider Types'!$H:$H,MATCH(D132,'Glider Types'!$A:$A,0)),"")</f>
        <v>185</v>
      </c>
      <c r="M132" s="5" t="n">
        <f aca="false">IFERROR(INDEX('Glider Types'!$I:$I,MATCH(D132,'Glider Types'!$A:$A,0)),"")</f>
        <v>85</v>
      </c>
      <c r="N132" s="13"/>
      <c r="O132" s="13"/>
      <c r="P132" s="13"/>
    </row>
    <row r="133" customFormat="false" ht="15" hidden="false" customHeight="false" outlineLevel="0" collapsed="false">
      <c r="A133" s="5" t="s">
        <v>410</v>
      </c>
      <c r="B133" s="5" t="s">
        <v>411</v>
      </c>
      <c r="C133" s="5" t="s">
        <v>973</v>
      </c>
      <c r="D133" s="5" t="s">
        <v>754</v>
      </c>
      <c r="E133" s="5" t="s">
        <v>870</v>
      </c>
      <c r="F133" s="5" t="n">
        <v>1</v>
      </c>
      <c r="G133" s="5"/>
      <c r="H133" s="5" t="s">
        <v>864</v>
      </c>
      <c r="I133" s="5"/>
      <c r="J133" s="5" t="n">
        <f aca="false">IFERROR(INDEX('Glider Types'!$F:$F,MATCH(D133,'Glider Types'!$A:$A,0)),"")</f>
        <v>23</v>
      </c>
      <c r="K133" s="5" t="n">
        <f aca="false">IFERROR(INDEX('Glider Types'!$G:$G,MATCH(D133,'Glider Types'!$A:$A,0)),"")</f>
        <v>46</v>
      </c>
      <c r="L133" s="5" t="n">
        <f aca="false">IFERROR(INDEX('Glider Types'!$H:$H,MATCH(D133,'Glider Types'!$A:$A,0)),"")</f>
        <v>161</v>
      </c>
      <c r="M133" s="5" t="n">
        <f aca="false">IFERROR(INDEX('Glider Types'!$I:$I,MATCH(D133,'Glider Types'!$A:$A,0)),"")</f>
        <v>99</v>
      </c>
      <c r="N133" s="13"/>
      <c r="O133" s="13"/>
      <c r="P133" s="13"/>
    </row>
    <row r="134" customFormat="false" ht="15" hidden="false" customHeight="false" outlineLevel="0" collapsed="false">
      <c r="A134" s="5" t="s">
        <v>410</v>
      </c>
      <c r="B134" s="5" t="s">
        <v>411</v>
      </c>
      <c r="C134" s="5" t="s">
        <v>1055</v>
      </c>
      <c r="D134" s="5" t="s">
        <v>803</v>
      </c>
      <c r="E134" s="5" t="s">
        <v>870</v>
      </c>
      <c r="F134" s="5" t="n">
        <v>1</v>
      </c>
      <c r="G134" s="5"/>
      <c r="H134" s="5" t="s">
        <v>864</v>
      </c>
      <c r="I134" s="5"/>
      <c r="J134" s="5" t="n">
        <f aca="false">IFERROR(INDEX('Glider Types'!$F:$F,MATCH(D134,'Glider Types'!$A:$A,0)),"")</f>
        <v>37</v>
      </c>
      <c r="K134" s="5" t="n">
        <f aca="false">IFERROR(INDEX('Glider Types'!$G:$G,MATCH(D134,'Glider Types'!$A:$A,0)),"")</f>
        <v>51</v>
      </c>
      <c r="L134" s="5" t="n">
        <f aca="false">IFERROR(INDEX('Glider Types'!$H:$H,MATCH(D134,'Glider Types'!$A:$A,0)),"")</f>
        <v>122</v>
      </c>
      <c r="M134" s="5" t="n">
        <f aca="false">IFERROR(INDEX('Glider Types'!$I:$I,MATCH(D134,'Glider Types'!$A:$A,0)),"")</f>
        <v>135</v>
      </c>
      <c r="N134" s="13"/>
      <c r="O134" s="13"/>
      <c r="P134" s="13"/>
    </row>
    <row r="135" customFormat="false" ht="15" hidden="false" customHeight="false" outlineLevel="0" collapsed="false">
      <c r="A135" s="5" t="s">
        <v>383</v>
      </c>
      <c r="B135" s="5" t="s">
        <v>384</v>
      </c>
      <c r="C135" s="5" t="s">
        <v>828</v>
      </c>
      <c r="D135" s="5" t="s">
        <v>827</v>
      </c>
      <c r="E135" s="5" t="s">
        <v>870</v>
      </c>
      <c r="F135" s="5" t="n">
        <v>2</v>
      </c>
      <c r="G135" s="5"/>
      <c r="H135" s="5" t="s">
        <v>1033</v>
      </c>
      <c r="I135" s="5" t="s">
        <v>830</v>
      </c>
      <c r="J135" s="5" t="n">
        <f aca="false">IFERROR(INDEX('Glider Types'!$F:$F,MATCH(D135,'Glider Types'!$A:$A,0)),"")</f>
        <v>44</v>
      </c>
      <c r="K135" s="5" t="n">
        <f aca="false">IFERROR(INDEX('Glider Types'!$G:$G,MATCH(D135,'Glider Types'!$A:$A,0)),"")</f>
        <v>57</v>
      </c>
      <c r="L135" s="5" t="n">
        <f aca="false">IFERROR(INDEX('Glider Types'!$H:$H,MATCH(D135,'Glider Types'!$A:$A,0)),"")</f>
        <v>110</v>
      </c>
      <c r="M135" s="5" t="n">
        <f aca="false">IFERROR(INDEX('Glider Types'!$I:$I,MATCH(D135,'Glider Types'!$A:$A,0)),"")</f>
        <v>146</v>
      </c>
      <c r="N135" s="13"/>
      <c r="O135" s="13"/>
      <c r="P135" s="13"/>
    </row>
    <row r="136" customFormat="false" ht="15" hidden="false" customHeight="false" outlineLevel="0" collapsed="false">
      <c r="A136" s="5" t="s">
        <v>383</v>
      </c>
      <c r="B136" s="5" t="s">
        <v>384</v>
      </c>
      <c r="C136" s="5" t="s">
        <v>1056</v>
      </c>
      <c r="D136" s="5" t="s">
        <v>797</v>
      </c>
      <c r="E136" s="5" t="s">
        <v>870</v>
      </c>
      <c r="F136" s="5" t="n">
        <v>2</v>
      </c>
      <c r="G136" s="5"/>
      <c r="H136" s="5" t="s">
        <v>1033</v>
      </c>
      <c r="I136" s="5" t="s">
        <v>830</v>
      </c>
      <c r="J136" s="5" t="n">
        <f aca="false">IFERROR(INDEX('Glider Types'!$F:$F,MATCH(D136,'Glider Types'!$A:$A,0)),"")</f>
        <v>36.5</v>
      </c>
      <c r="K136" s="5" t="n">
        <f aca="false">IFERROR(INDEX('Glider Types'!$G:$G,MATCH(D136,'Glider Types'!$A:$A,0)),"")</f>
        <v>57</v>
      </c>
      <c r="L136" s="5" t="n">
        <f aca="false">IFERROR(INDEX('Glider Types'!$H:$H,MATCH(D136,'Glider Types'!$A:$A,0)),"")</f>
        <v>122</v>
      </c>
      <c r="M136" s="5" t="n">
        <f aca="false">IFERROR(INDEX('Glider Types'!$I:$I,MATCH(D136,'Glider Types'!$A:$A,0)),"")</f>
        <v>135</v>
      </c>
      <c r="N136" s="13"/>
      <c r="O136" s="13"/>
      <c r="P136" s="13"/>
    </row>
    <row r="137" customFormat="false" ht="15" hidden="false" customHeight="false" outlineLevel="0" collapsed="false">
      <c r="A137" s="5" t="s">
        <v>383</v>
      </c>
      <c r="B137" s="5" t="s">
        <v>384</v>
      </c>
      <c r="C137" s="5" t="s">
        <v>886</v>
      </c>
      <c r="D137" s="5" t="s">
        <v>741</v>
      </c>
      <c r="E137" s="5" t="s">
        <v>870</v>
      </c>
      <c r="F137" s="5" t="n">
        <v>2</v>
      </c>
      <c r="G137" s="5"/>
      <c r="H137" s="5" t="s">
        <v>1033</v>
      </c>
      <c r="I137" s="5" t="s">
        <v>744</v>
      </c>
      <c r="J137" s="5" t="n">
        <f aca="false">IFERROR(INDEX('Glider Types'!$F:$F,MATCH(D137,'Glider Types'!$A:$A,0)),"")</f>
        <v>23</v>
      </c>
      <c r="K137" s="5" t="n">
        <f aca="false">IFERROR(INDEX('Glider Types'!$G:$G,MATCH(D137,'Glider Types'!$A:$A,0)),"")</f>
        <v>39</v>
      </c>
      <c r="L137" s="5" t="n">
        <f aca="false">IFERROR(INDEX('Glider Types'!$H:$H,MATCH(D137,'Glider Types'!$A:$A,0)),"")</f>
        <v>185</v>
      </c>
      <c r="M137" s="5" t="n">
        <f aca="false">IFERROR(INDEX('Glider Types'!$I:$I,MATCH(D137,'Glider Types'!$A:$A,0)),"")</f>
        <v>85</v>
      </c>
      <c r="N137" s="13"/>
      <c r="O137" s="13"/>
      <c r="P137" s="13"/>
    </row>
    <row r="138" customFormat="false" ht="15" hidden="false" customHeight="false" outlineLevel="0" collapsed="false">
      <c r="A138" s="5" t="s">
        <v>383</v>
      </c>
      <c r="B138" s="5" t="s">
        <v>384</v>
      </c>
      <c r="C138" s="5" t="s">
        <v>825</v>
      </c>
      <c r="D138" s="5" t="s">
        <v>824</v>
      </c>
      <c r="E138" s="5" t="s">
        <v>870</v>
      </c>
      <c r="F138" s="5" t="n">
        <v>1</v>
      </c>
      <c r="G138" s="5"/>
      <c r="H138" s="5" t="s">
        <v>1033</v>
      </c>
      <c r="I138" s="5"/>
      <c r="J138" s="5" t="n">
        <f aca="false">IFERROR(INDEX('Glider Types'!$F:$F,MATCH(D138,'Glider Types'!$A:$A,0)),"")</f>
        <v>47</v>
      </c>
      <c r="K138" s="5" t="n">
        <f aca="false">IFERROR(INDEX('Glider Types'!$G:$G,MATCH(D138,'Glider Types'!$A:$A,0)),"")</f>
        <v>57</v>
      </c>
      <c r="L138" s="5" t="n">
        <f aca="false">IFERROR(INDEX('Glider Types'!$H:$H,MATCH(D138,'Glider Types'!$A:$A,0)),"")</f>
        <v>106</v>
      </c>
      <c r="M138" s="5" t="n">
        <f aca="false">IFERROR(INDEX('Glider Types'!$I:$I,MATCH(D138,'Glider Types'!$A:$A,0)),"")</f>
        <v>151</v>
      </c>
      <c r="N138" s="13"/>
      <c r="O138" s="13"/>
      <c r="P138" s="13"/>
    </row>
    <row r="139" customFormat="false" ht="15" hidden="false" customHeight="false" outlineLevel="0" collapsed="false">
      <c r="A139" s="5" t="s">
        <v>383</v>
      </c>
      <c r="B139" s="5" t="s">
        <v>384</v>
      </c>
      <c r="C139" s="5" t="s">
        <v>847</v>
      </c>
      <c r="D139" s="5" t="s">
        <v>846</v>
      </c>
      <c r="E139" s="5" t="s">
        <v>870</v>
      </c>
      <c r="F139" s="5" t="n">
        <v>1</v>
      </c>
      <c r="G139" s="5"/>
      <c r="H139" s="5" t="s">
        <v>1033</v>
      </c>
      <c r="I139" s="5"/>
      <c r="J139" s="5" t="n">
        <f aca="false">IFERROR(INDEX('Glider Types'!$F:$F,MATCH(D139,'Glider Types'!$A:$A,0)),"")</f>
        <v>44</v>
      </c>
      <c r="K139" s="5" t="n">
        <f aca="false">IFERROR(INDEX('Glider Types'!$G:$G,MATCH(D139,'Glider Types'!$A:$A,0)),"")</f>
        <v>51</v>
      </c>
      <c r="L139" s="5" t="n">
        <f aca="false">IFERROR(INDEX('Glider Types'!$H:$H,MATCH(D139,'Glider Types'!$A:$A,0)),"")</f>
        <v>108</v>
      </c>
      <c r="M139" s="5" t="n">
        <f aca="false">IFERROR(INDEX('Glider Types'!$I:$I,MATCH(D139,'Glider Types'!$A:$A,0)),"")</f>
        <v>119</v>
      </c>
      <c r="N139" s="13"/>
      <c r="O139" s="13"/>
      <c r="P139" s="13"/>
    </row>
    <row r="140" customFormat="false" ht="23.85" hidden="false" customHeight="false" outlineLevel="0" collapsed="false">
      <c r="A140" s="5" t="s">
        <v>419</v>
      </c>
      <c r="B140" s="5" t="s">
        <v>420</v>
      </c>
      <c r="C140" s="5" t="s">
        <v>1057</v>
      </c>
      <c r="D140" s="5" t="s">
        <v>797</v>
      </c>
      <c r="E140" s="5" t="s">
        <v>870</v>
      </c>
      <c r="F140" s="5" t="n">
        <v>2</v>
      </c>
      <c r="G140" s="5" t="s">
        <v>1058</v>
      </c>
      <c r="H140" s="5" t="s">
        <v>1059</v>
      </c>
      <c r="I140" s="5" t="s">
        <v>830</v>
      </c>
      <c r="J140" s="5" t="n">
        <f aca="false">IFERROR(INDEX('Glider Types'!$F:$F,MATCH(D140,'Glider Types'!$A:$A,0)),"")</f>
        <v>36.5</v>
      </c>
      <c r="K140" s="5" t="n">
        <f aca="false">IFERROR(INDEX('Glider Types'!$G:$G,MATCH(D140,'Glider Types'!$A:$A,0)),"")</f>
        <v>57</v>
      </c>
      <c r="L140" s="5" t="n">
        <f aca="false">IFERROR(INDEX('Glider Types'!$H:$H,MATCH(D140,'Glider Types'!$A:$A,0)),"")</f>
        <v>122</v>
      </c>
      <c r="M140" s="5" t="n">
        <f aca="false">IFERROR(INDEX('Glider Types'!$I:$I,MATCH(D140,'Glider Types'!$A:$A,0)),"")</f>
        <v>135</v>
      </c>
      <c r="N140" s="13"/>
      <c r="O140" s="13"/>
      <c r="P140" s="13"/>
    </row>
    <row r="141" customFormat="false" ht="23.85" hidden="false" customHeight="false" outlineLevel="0" collapsed="false">
      <c r="A141" s="5" t="s">
        <v>419</v>
      </c>
      <c r="B141" s="5" t="s">
        <v>420</v>
      </c>
      <c r="C141" s="5" t="s">
        <v>773</v>
      </c>
      <c r="D141" s="5" t="s">
        <v>772</v>
      </c>
      <c r="E141" s="5" t="s">
        <v>870</v>
      </c>
      <c r="F141" s="5" t="n">
        <v>2</v>
      </c>
      <c r="G141" s="5" t="s">
        <v>1060</v>
      </c>
      <c r="H141" s="5" t="s">
        <v>1059</v>
      </c>
      <c r="I141" s="5" t="s">
        <v>1046</v>
      </c>
      <c r="J141" s="5" t="n">
        <f aca="false">IFERROR(INDEX('Glider Types'!$F:$F,MATCH(D141,'Glider Types'!$A:$A,0)),"")</f>
        <v>28</v>
      </c>
      <c r="K141" s="5" t="n">
        <f aca="false">IFERROR(INDEX('Glider Types'!$G:$G,MATCH(D141,'Glider Types'!$A:$A,0)),"")</f>
        <v>49</v>
      </c>
      <c r="L141" s="5" t="n">
        <f aca="false">IFERROR(INDEX('Glider Types'!$H:$H,MATCH(D141,'Glider Types'!$A:$A,0)),"")</f>
        <v>148</v>
      </c>
      <c r="M141" s="5" t="n">
        <f aca="false">IFERROR(INDEX('Glider Types'!$I:$I,MATCH(D141,'Glider Types'!$A:$A,0)),"")</f>
        <v>135</v>
      </c>
      <c r="N141" s="13"/>
      <c r="O141" s="13"/>
      <c r="P141" s="13"/>
    </row>
    <row r="142" customFormat="false" ht="15" hidden="false" customHeight="false" outlineLevel="0" collapsed="false">
      <c r="A142" s="5" t="s">
        <v>439</v>
      </c>
      <c r="B142" s="5" t="s">
        <v>440</v>
      </c>
      <c r="C142" s="5" t="s">
        <v>1061</v>
      </c>
      <c r="D142" s="5" t="s">
        <v>797</v>
      </c>
      <c r="E142" s="5" t="s">
        <v>870</v>
      </c>
      <c r="F142" s="5" t="n">
        <v>2</v>
      </c>
      <c r="G142" s="5" t="s">
        <v>1050</v>
      </c>
      <c r="H142" s="5" t="s">
        <v>864</v>
      </c>
      <c r="I142" s="5"/>
      <c r="J142" s="5" t="n">
        <f aca="false">IFERROR(INDEX('Glider Types'!$F:$F,MATCH(D142,'Glider Types'!$A:$A,0)),"")</f>
        <v>36.5</v>
      </c>
      <c r="K142" s="5" t="n">
        <f aca="false">IFERROR(INDEX('Glider Types'!$G:$G,MATCH(D142,'Glider Types'!$A:$A,0)),"")</f>
        <v>57</v>
      </c>
      <c r="L142" s="5" t="n">
        <f aca="false">IFERROR(INDEX('Glider Types'!$H:$H,MATCH(D142,'Glider Types'!$A:$A,0)),"")</f>
        <v>122</v>
      </c>
      <c r="M142" s="5" t="n">
        <f aca="false">IFERROR(INDEX('Glider Types'!$I:$I,MATCH(D142,'Glider Types'!$A:$A,0)),"")</f>
        <v>135</v>
      </c>
      <c r="N142" s="13"/>
      <c r="O142" s="13"/>
      <c r="P142" s="13"/>
    </row>
    <row r="143" customFormat="false" ht="15" hidden="false" customHeight="false" outlineLevel="0" collapsed="false">
      <c r="A143" s="5" t="s">
        <v>439</v>
      </c>
      <c r="B143" s="5" t="s">
        <v>440</v>
      </c>
      <c r="C143" s="5" t="s">
        <v>1062</v>
      </c>
      <c r="D143" s="5" t="s">
        <v>772</v>
      </c>
      <c r="E143" s="5" t="s">
        <v>870</v>
      </c>
      <c r="F143" s="5" t="n">
        <v>2</v>
      </c>
      <c r="G143" s="5" t="s">
        <v>1050</v>
      </c>
      <c r="H143" s="5" t="s">
        <v>864</v>
      </c>
      <c r="I143" s="5" t="s">
        <v>744</v>
      </c>
      <c r="J143" s="5" t="n">
        <f aca="false">IFERROR(INDEX('Glider Types'!$F:$F,MATCH(D143,'Glider Types'!$A:$A,0)),"")</f>
        <v>28</v>
      </c>
      <c r="K143" s="5" t="n">
        <f aca="false">IFERROR(INDEX('Glider Types'!$G:$G,MATCH(D143,'Glider Types'!$A:$A,0)),"")</f>
        <v>49</v>
      </c>
      <c r="L143" s="5" t="n">
        <f aca="false">IFERROR(INDEX('Glider Types'!$H:$H,MATCH(D143,'Glider Types'!$A:$A,0)),"")</f>
        <v>148</v>
      </c>
      <c r="M143" s="5" t="n">
        <f aca="false">IFERROR(INDEX('Glider Types'!$I:$I,MATCH(D143,'Glider Types'!$A:$A,0)),"")</f>
        <v>135</v>
      </c>
      <c r="N143" s="13"/>
      <c r="O143" s="13"/>
      <c r="P143" s="13"/>
    </row>
    <row r="144" customFormat="false" ht="15" hidden="false" customHeight="false" outlineLevel="0" collapsed="false">
      <c r="A144" s="5" t="s">
        <v>439</v>
      </c>
      <c r="B144" s="5" t="s">
        <v>440</v>
      </c>
      <c r="C144" s="5" t="s">
        <v>1063</v>
      </c>
      <c r="D144" s="5" t="s">
        <v>766</v>
      </c>
      <c r="E144" s="5" t="s">
        <v>870</v>
      </c>
      <c r="F144" s="5" t="n">
        <v>1</v>
      </c>
      <c r="G144" s="5"/>
      <c r="H144" s="5" t="s">
        <v>864</v>
      </c>
      <c r="I144" s="5"/>
      <c r="J144" s="5" t="n">
        <f aca="false">IFERROR(INDEX('Glider Types'!$F:$F,MATCH(D144,'Glider Types'!$A:$A,0)),"")</f>
        <v>31</v>
      </c>
      <c r="K144" s="5" t="n">
        <f aca="false">IFERROR(INDEX('Glider Types'!$G:$G,MATCH(D144,'Glider Types'!$A:$A,0)),"")</f>
        <v>46</v>
      </c>
      <c r="L144" s="5" t="n">
        <f aca="false">IFERROR(INDEX('Glider Types'!$H:$H,MATCH(D144,'Glider Types'!$A:$A,0)),"")</f>
        <v>132</v>
      </c>
      <c r="M144" s="5" t="n">
        <f aca="false">IFERROR(INDEX('Glider Types'!$I:$I,MATCH(D144,'Glider Types'!$A:$A,0)),"")</f>
        <v>105</v>
      </c>
      <c r="N144" s="13"/>
      <c r="O144" s="13"/>
      <c r="P144" s="13"/>
    </row>
    <row r="145" customFormat="false" ht="15" hidden="false" customHeight="false" outlineLevel="0" collapsed="false">
      <c r="A145" s="5" t="s">
        <v>439</v>
      </c>
      <c r="B145" s="5" t="s">
        <v>440</v>
      </c>
      <c r="C145" s="5" t="s">
        <v>1011</v>
      </c>
      <c r="D145" s="5" t="s">
        <v>803</v>
      </c>
      <c r="E145" s="5" t="s">
        <v>870</v>
      </c>
      <c r="F145" s="5" t="n">
        <v>1</v>
      </c>
      <c r="G145" s="5"/>
      <c r="H145" s="5" t="s">
        <v>864</v>
      </c>
      <c r="I145" s="5"/>
      <c r="J145" s="5" t="n">
        <f aca="false">IFERROR(INDEX('Glider Types'!$F:$F,MATCH(D145,'Glider Types'!$A:$A,0)),"")</f>
        <v>37</v>
      </c>
      <c r="K145" s="5" t="n">
        <f aca="false">IFERROR(INDEX('Glider Types'!$G:$G,MATCH(D145,'Glider Types'!$A:$A,0)),"")</f>
        <v>51</v>
      </c>
      <c r="L145" s="5" t="n">
        <f aca="false">IFERROR(INDEX('Glider Types'!$H:$H,MATCH(D145,'Glider Types'!$A:$A,0)),"")</f>
        <v>122</v>
      </c>
      <c r="M145" s="5" t="n">
        <f aca="false">IFERROR(INDEX('Glider Types'!$I:$I,MATCH(D145,'Glider Types'!$A:$A,0)),"")</f>
        <v>135</v>
      </c>
      <c r="N145" s="13"/>
      <c r="O145" s="13"/>
      <c r="P145" s="13"/>
    </row>
    <row r="146" customFormat="false" ht="15" hidden="false" customHeight="false" outlineLevel="0" collapsed="false">
      <c r="A146" s="5" t="s">
        <v>439</v>
      </c>
      <c r="B146" s="5" t="s">
        <v>440</v>
      </c>
      <c r="C146" s="5" t="s">
        <v>811</v>
      </c>
      <c r="D146" s="5" t="s">
        <v>810</v>
      </c>
      <c r="E146" s="5" t="s">
        <v>870</v>
      </c>
      <c r="F146" s="5" t="n">
        <v>1</v>
      </c>
      <c r="G146" s="5"/>
      <c r="H146" s="5" t="s">
        <v>864</v>
      </c>
      <c r="I146" s="5" t="s">
        <v>1064</v>
      </c>
      <c r="J146" s="5" t="n">
        <f aca="false">IFERROR(INDEX('Glider Types'!$F:$F,MATCH(D146,'Glider Types'!$A:$A,0)),"")</f>
        <v>40.5</v>
      </c>
      <c r="K146" s="5" t="n">
        <f aca="false">IFERROR(INDEX('Glider Types'!$G:$G,MATCH(D146,'Glider Types'!$A:$A,0)),"")</f>
        <v>54</v>
      </c>
      <c r="L146" s="5" t="n">
        <f aca="false">IFERROR(INDEX('Glider Types'!$H:$H,MATCH(D146,'Glider Types'!$A:$A,0)),"")</f>
        <v>118</v>
      </c>
      <c r="M146" s="5" t="n">
        <f aca="false">IFERROR(INDEX('Glider Types'!$I:$I,MATCH(D146,'Glider Types'!$A:$A,0)),"")</f>
        <v>146</v>
      </c>
      <c r="N146" s="13"/>
      <c r="O146" s="13"/>
      <c r="P146" s="13"/>
    </row>
    <row r="147" customFormat="false" ht="15" hidden="false" customHeight="false" outlineLevel="0" collapsed="false">
      <c r="A147" s="5" t="s">
        <v>430</v>
      </c>
      <c r="B147" s="5" t="s">
        <v>431</v>
      </c>
      <c r="C147" s="5" t="s">
        <v>1065</v>
      </c>
      <c r="D147" s="5" t="s">
        <v>772</v>
      </c>
      <c r="E147" s="5" t="s">
        <v>870</v>
      </c>
      <c r="F147" s="5" t="n">
        <v>2</v>
      </c>
      <c r="G147" s="5" t="s">
        <v>1066</v>
      </c>
      <c r="H147" s="5" t="s">
        <v>1067</v>
      </c>
      <c r="I147" s="5" t="s">
        <v>744</v>
      </c>
      <c r="J147" s="5" t="n">
        <f aca="false">IFERROR(INDEX('Glider Types'!$F:$F,MATCH(D147,'Glider Types'!$A:$A,0)),"")</f>
        <v>28</v>
      </c>
      <c r="K147" s="5" t="n">
        <f aca="false">IFERROR(INDEX('Glider Types'!$G:$G,MATCH(D147,'Glider Types'!$A:$A,0)),"")</f>
        <v>49</v>
      </c>
      <c r="L147" s="5" t="n">
        <f aca="false">IFERROR(INDEX('Glider Types'!$H:$H,MATCH(D147,'Glider Types'!$A:$A,0)),"")</f>
        <v>148</v>
      </c>
      <c r="M147" s="5" t="n">
        <f aca="false">IFERROR(INDEX('Glider Types'!$I:$I,MATCH(D147,'Glider Types'!$A:$A,0)),"")</f>
        <v>135</v>
      </c>
      <c r="N147" s="13"/>
      <c r="O147" s="13"/>
      <c r="P147" s="13"/>
    </row>
    <row r="148" customFormat="false" ht="15" hidden="false" customHeight="false" outlineLevel="0" collapsed="false">
      <c r="A148" s="5" t="s">
        <v>430</v>
      </c>
      <c r="B148" s="5" t="s">
        <v>431</v>
      </c>
      <c r="C148" s="5" t="s">
        <v>953</v>
      </c>
      <c r="D148" s="5" t="s">
        <v>746</v>
      </c>
      <c r="E148" s="5" t="s">
        <v>870</v>
      </c>
      <c r="F148" s="5" t="n">
        <v>2</v>
      </c>
      <c r="G148" s="5" t="s">
        <v>1066</v>
      </c>
      <c r="H148" s="5" t="s">
        <v>1067</v>
      </c>
      <c r="I148" s="5" t="s">
        <v>744</v>
      </c>
      <c r="J148" s="5" t="n">
        <f aca="false">IFERROR(INDEX('Glider Types'!$F:$F,MATCH(D148,'Glider Types'!$A:$A,0)),"")</f>
        <v>34</v>
      </c>
      <c r="K148" s="5" t="n">
        <f aca="false">IFERROR(INDEX('Glider Types'!$G:$G,MATCH(D148,'Glider Types'!$A:$A,0)),"")</f>
        <v>51</v>
      </c>
      <c r="L148" s="5" t="n">
        <f aca="false">IFERROR(INDEX('Glider Types'!$H:$H,MATCH(D148,'Glider Types'!$A:$A,0)),"")</f>
        <v>144</v>
      </c>
      <c r="M148" s="5" t="n">
        <f aca="false">IFERROR(INDEX('Glider Types'!$I:$I,MATCH(D148,'Glider Types'!$A:$A,0)),"")</f>
        <v>137</v>
      </c>
      <c r="N148" s="13"/>
      <c r="O148" s="13"/>
      <c r="P148" s="13"/>
    </row>
    <row r="149" customFormat="false" ht="15" hidden="false" customHeight="false" outlineLevel="0" collapsed="false">
      <c r="A149" s="5" t="s">
        <v>430</v>
      </c>
      <c r="B149" s="5" t="s">
        <v>431</v>
      </c>
      <c r="C149" s="5" t="s">
        <v>1068</v>
      </c>
      <c r="D149" s="5" t="s">
        <v>806</v>
      </c>
      <c r="E149" s="5" t="s">
        <v>870</v>
      </c>
      <c r="F149" s="5" t="n">
        <v>1</v>
      </c>
      <c r="G149" s="5" t="s">
        <v>929</v>
      </c>
      <c r="H149" s="5" t="s">
        <v>1067</v>
      </c>
      <c r="I149" s="5"/>
      <c r="J149" s="5" t="n">
        <f aca="false">IFERROR(INDEX('Glider Types'!$F:$F,MATCH(D149,'Glider Types'!$A:$A,0)),"")</f>
        <v>35</v>
      </c>
      <c r="K149" s="5" t="n">
        <f aca="false">IFERROR(INDEX('Glider Types'!$G:$G,MATCH(D149,'Glider Types'!$A:$A,0)),"")</f>
        <v>46</v>
      </c>
      <c r="L149" s="5" t="n">
        <f aca="false">IFERROR(INDEX('Glider Types'!$H:$H,MATCH(D149,'Glider Types'!$A:$A,0)),"")</f>
        <v>126</v>
      </c>
      <c r="M149" s="5" t="n">
        <f aca="false">IFERROR(INDEX('Glider Types'!$I:$I,MATCH(D149,'Glider Types'!$A:$A,0)),"")</f>
        <v>130</v>
      </c>
      <c r="N149" s="13"/>
      <c r="O149" s="13"/>
      <c r="P149" s="13"/>
    </row>
    <row r="150" customFormat="false" ht="15" hidden="false" customHeight="false" outlineLevel="0" collapsed="false">
      <c r="A150" s="5" t="s">
        <v>447</v>
      </c>
      <c r="B150" s="5" t="s">
        <v>448</v>
      </c>
      <c r="C150" s="5" t="s">
        <v>963</v>
      </c>
      <c r="D150" s="5" t="s">
        <v>779</v>
      </c>
      <c r="E150" s="5" t="s">
        <v>870</v>
      </c>
      <c r="F150" s="5" t="n">
        <v>2</v>
      </c>
      <c r="G150" s="5"/>
      <c r="H150" s="5" t="s">
        <v>1024</v>
      </c>
      <c r="I150" s="5" t="s">
        <v>967</v>
      </c>
      <c r="J150" s="5" t="n">
        <f aca="false">IFERROR(INDEX('Glider Types'!$F:$F,MATCH(D150,'Glider Types'!$A:$A,0)),"")</f>
        <v>34</v>
      </c>
      <c r="K150" s="5" t="n">
        <f aca="false">IFERROR(INDEX('Glider Types'!$G:$G,MATCH(D150,'Glider Types'!$A:$A,0)),"")</f>
        <v>49</v>
      </c>
      <c r="L150" s="5" t="n">
        <f aca="false">IFERROR(INDEX('Glider Types'!$H:$H,MATCH(D150,'Glider Types'!$A:$A,0)),"")</f>
        <v>128</v>
      </c>
      <c r="M150" s="5" t="n">
        <f aca="false">IFERROR(INDEX('Glider Types'!$I:$I,MATCH(D150,'Glider Types'!$A:$A,0)),"")</f>
        <v>151</v>
      </c>
      <c r="N150" s="13"/>
      <c r="O150" s="13"/>
      <c r="P150" s="13"/>
    </row>
    <row r="151" customFormat="false" ht="15" hidden="false" customHeight="false" outlineLevel="0" collapsed="false">
      <c r="A151" s="5" t="s">
        <v>447</v>
      </c>
      <c r="B151" s="5" t="s">
        <v>448</v>
      </c>
      <c r="C151" s="5" t="s">
        <v>821</v>
      </c>
      <c r="D151" s="5" t="s">
        <v>820</v>
      </c>
      <c r="E151" s="5" t="s">
        <v>870</v>
      </c>
      <c r="F151" s="5" t="n">
        <v>2</v>
      </c>
      <c r="G151" s="5"/>
      <c r="H151" s="5" t="s">
        <v>1024</v>
      </c>
      <c r="I151" s="5" t="s">
        <v>1069</v>
      </c>
      <c r="J151" s="5" t="n">
        <f aca="false">IFERROR(INDEX('Glider Types'!$F:$F,MATCH(D151,'Glider Types'!$A:$A,0)),"")</f>
        <v>45</v>
      </c>
      <c r="K151" s="5" t="n">
        <f aca="false">IFERROR(INDEX('Glider Types'!$G:$G,MATCH(D151,'Glider Types'!$A:$A,0)),"")</f>
        <v>54</v>
      </c>
      <c r="L151" s="5" t="n">
        <f aca="false">IFERROR(INDEX('Glider Types'!$H:$H,MATCH(D151,'Glider Types'!$A:$A,0)),"")</f>
        <v>108</v>
      </c>
      <c r="M151" s="5" t="n">
        <f aca="false">IFERROR(INDEX('Glider Types'!$I:$I,MATCH(D151,'Glider Types'!$A:$A,0)),"")</f>
        <v>135</v>
      </c>
      <c r="N151" s="13"/>
      <c r="O151" s="13"/>
      <c r="P151" s="13"/>
    </row>
    <row r="152" customFormat="false" ht="15" hidden="false" customHeight="false" outlineLevel="0" collapsed="false">
      <c r="A152" s="5" t="s">
        <v>447</v>
      </c>
      <c r="B152" s="5" t="s">
        <v>448</v>
      </c>
      <c r="C152" s="5" t="s">
        <v>1070</v>
      </c>
      <c r="D152" s="5" t="s">
        <v>793</v>
      </c>
      <c r="E152" s="5" t="s">
        <v>870</v>
      </c>
      <c r="F152" s="5" t="n">
        <v>1</v>
      </c>
      <c r="G152" s="5"/>
      <c r="H152" s="5" t="s">
        <v>1024</v>
      </c>
      <c r="I152" s="5" t="s">
        <v>796</v>
      </c>
      <c r="J152" s="5" t="n">
        <f aca="false">IFERROR(INDEX('Glider Types'!$F:$F,MATCH(D152,'Glider Types'!$A:$A,0)),"")</f>
        <v>33</v>
      </c>
      <c r="K152" s="5" t="n">
        <f aca="false">IFERROR(INDEX('Glider Types'!$G:$G,MATCH(D152,'Glider Types'!$A:$A,0)),"")</f>
        <v>43</v>
      </c>
      <c r="L152" s="5" t="n">
        <f aca="false">IFERROR(INDEX('Glider Types'!$H:$H,MATCH(D152,'Glider Types'!$A:$A,0)),"")</f>
        <v>126</v>
      </c>
      <c r="M152" s="5" t="n">
        <f aca="false">IFERROR(INDEX('Glider Types'!$I:$I,MATCH(D152,'Glider Types'!$A:$A,0)),"")</f>
        <v>119</v>
      </c>
      <c r="N152" s="13"/>
      <c r="O152" s="13"/>
      <c r="P152" s="13"/>
    </row>
    <row r="153" customFormat="false" ht="15" hidden="false" customHeight="false" outlineLevel="0" collapsed="false">
      <c r="A153" s="5" t="s">
        <v>447</v>
      </c>
      <c r="B153" s="5" t="s">
        <v>448</v>
      </c>
      <c r="C153" s="5" t="s">
        <v>1071</v>
      </c>
      <c r="D153" s="5" t="s">
        <v>754</v>
      </c>
      <c r="E153" s="5" t="s">
        <v>870</v>
      </c>
      <c r="F153" s="5" t="n">
        <v>1</v>
      </c>
      <c r="G153" s="5"/>
      <c r="H153" s="5" t="s">
        <v>1024</v>
      </c>
      <c r="I153" s="5" t="s">
        <v>796</v>
      </c>
      <c r="J153" s="5" t="n">
        <f aca="false">IFERROR(INDEX('Glider Types'!$F:$F,MATCH(D153,'Glider Types'!$A:$A,0)),"")</f>
        <v>23</v>
      </c>
      <c r="K153" s="5" t="n">
        <f aca="false">IFERROR(INDEX('Glider Types'!$G:$G,MATCH(D153,'Glider Types'!$A:$A,0)),"")</f>
        <v>46</v>
      </c>
      <c r="L153" s="5" t="n">
        <f aca="false">IFERROR(INDEX('Glider Types'!$H:$H,MATCH(D153,'Glider Types'!$A:$A,0)),"")</f>
        <v>161</v>
      </c>
      <c r="M153" s="5" t="n">
        <f aca="false">IFERROR(INDEX('Glider Types'!$I:$I,MATCH(D153,'Glider Types'!$A:$A,0)),"")</f>
        <v>99</v>
      </c>
      <c r="N153" s="13"/>
      <c r="O153" s="13"/>
      <c r="P153" s="13"/>
    </row>
    <row r="154" customFormat="false" ht="15" hidden="false" customHeight="false" outlineLevel="0" collapsed="false">
      <c r="A154" s="5" t="s">
        <v>458</v>
      </c>
      <c r="B154" s="5" t="s">
        <v>459</v>
      </c>
      <c r="C154" s="5" t="s">
        <v>886</v>
      </c>
      <c r="D154" s="5" t="s">
        <v>741</v>
      </c>
      <c r="E154" s="5" t="s">
        <v>870</v>
      </c>
      <c r="F154" s="5" t="n">
        <v>2</v>
      </c>
      <c r="G154" s="5" t="s">
        <v>1072</v>
      </c>
      <c r="H154" s="5" t="s">
        <v>1073</v>
      </c>
      <c r="I154" s="5" t="s">
        <v>744</v>
      </c>
      <c r="J154" s="5" t="n">
        <f aca="false">IFERROR(INDEX('Glider Types'!$F:$F,MATCH(D154,'Glider Types'!$A:$A,0)),"")</f>
        <v>23</v>
      </c>
      <c r="K154" s="5" t="n">
        <f aca="false">IFERROR(INDEX('Glider Types'!$G:$G,MATCH(D154,'Glider Types'!$A:$A,0)),"")</f>
        <v>39</v>
      </c>
      <c r="L154" s="5" t="n">
        <f aca="false">IFERROR(INDEX('Glider Types'!$H:$H,MATCH(D154,'Glider Types'!$A:$A,0)),"")</f>
        <v>185</v>
      </c>
      <c r="M154" s="5" t="n">
        <f aca="false">IFERROR(INDEX('Glider Types'!$I:$I,MATCH(D154,'Glider Types'!$A:$A,0)),"")</f>
        <v>85</v>
      </c>
      <c r="N154" s="13"/>
      <c r="O154" s="13"/>
      <c r="P154" s="13"/>
    </row>
    <row r="155" customFormat="false" ht="15" hidden="false" customHeight="false" outlineLevel="0" collapsed="false">
      <c r="A155" s="5" t="s">
        <v>458</v>
      </c>
      <c r="B155" s="5" t="s">
        <v>459</v>
      </c>
      <c r="C155" s="5" t="s">
        <v>1074</v>
      </c>
      <c r="D155" s="5" t="s">
        <v>772</v>
      </c>
      <c r="E155" s="5" t="s">
        <v>870</v>
      </c>
      <c r="F155" s="5" t="n">
        <v>2</v>
      </c>
      <c r="G155" s="5" t="s">
        <v>1075</v>
      </c>
      <c r="H155" s="5" t="s">
        <v>1073</v>
      </c>
      <c r="I155" s="5" t="s">
        <v>744</v>
      </c>
      <c r="J155" s="5" t="n">
        <f aca="false">IFERROR(INDEX('Glider Types'!$F:$F,MATCH(D155,'Glider Types'!$A:$A,0)),"")</f>
        <v>28</v>
      </c>
      <c r="K155" s="5" t="n">
        <f aca="false">IFERROR(INDEX('Glider Types'!$G:$G,MATCH(D155,'Glider Types'!$A:$A,0)),"")</f>
        <v>49</v>
      </c>
      <c r="L155" s="5" t="n">
        <f aca="false">IFERROR(INDEX('Glider Types'!$H:$H,MATCH(D155,'Glider Types'!$A:$A,0)),"")</f>
        <v>148</v>
      </c>
      <c r="M155" s="5" t="n">
        <f aca="false">IFERROR(INDEX('Glider Types'!$I:$I,MATCH(D155,'Glider Types'!$A:$A,0)),"")</f>
        <v>135</v>
      </c>
      <c r="N155" s="13"/>
      <c r="O155" s="13"/>
      <c r="P155" s="13"/>
    </row>
    <row r="156" customFormat="false" ht="15" hidden="false" customHeight="false" outlineLevel="0" collapsed="false">
      <c r="A156" s="5" t="s">
        <v>458</v>
      </c>
      <c r="B156" s="5" t="s">
        <v>459</v>
      </c>
      <c r="C156" s="5" t="s">
        <v>780</v>
      </c>
      <c r="D156" s="5" t="s">
        <v>779</v>
      </c>
      <c r="E156" s="5" t="s">
        <v>870</v>
      </c>
      <c r="F156" s="5" t="n">
        <v>2</v>
      </c>
      <c r="G156" s="5" t="s">
        <v>1076</v>
      </c>
      <c r="H156" s="5" t="s">
        <v>1073</v>
      </c>
      <c r="I156" s="5" t="s">
        <v>967</v>
      </c>
      <c r="J156" s="5" t="n">
        <f aca="false">IFERROR(INDEX('Glider Types'!$F:$F,MATCH(D156,'Glider Types'!$A:$A,0)),"")</f>
        <v>34</v>
      </c>
      <c r="K156" s="5" t="n">
        <f aca="false">IFERROR(INDEX('Glider Types'!$G:$G,MATCH(D156,'Glider Types'!$A:$A,0)),"")</f>
        <v>49</v>
      </c>
      <c r="L156" s="5" t="n">
        <f aca="false">IFERROR(INDEX('Glider Types'!$H:$H,MATCH(D156,'Glider Types'!$A:$A,0)),"")</f>
        <v>128</v>
      </c>
      <c r="M156" s="5" t="n">
        <f aca="false">IFERROR(INDEX('Glider Types'!$I:$I,MATCH(D156,'Glider Types'!$A:$A,0)),"")</f>
        <v>151</v>
      </c>
      <c r="N156" s="13"/>
      <c r="O156" s="13"/>
      <c r="P156" s="13"/>
    </row>
    <row r="157" customFormat="false" ht="15" hidden="false" customHeight="false" outlineLevel="0" collapsed="false">
      <c r="A157" s="5" t="s">
        <v>465</v>
      </c>
      <c r="B157" s="5" t="s">
        <v>466</v>
      </c>
      <c r="C157" s="5" t="s">
        <v>1054</v>
      </c>
      <c r="D157" s="5" t="s">
        <v>741</v>
      </c>
      <c r="E157" s="5" t="s">
        <v>870</v>
      </c>
      <c r="F157" s="5" t="n">
        <v>2</v>
      </c>
      <c r="G157" s="5" t="s">
        <v>1077</v>
      </c>
      <c r="H157" s="5" t="s">
        <v>864</v>
      </c>
      <c r="I157" s="5" t="s">
        <v>744</v>
      </c>
      <c r="J157" s="5" t="n">
        <f aca="false">IFERROR(INDEX('Glider Types'!$F:$F,MATCH(D157,'Glider Types'!$A:$A,0)),"")</f>
        <v>23</v>
      </c>
      <c r="K157" s="5" t="n">
        <f aca="false">IFERROR(INDEX('Glider Types'!$G:$G,MATCH(D157,'Glider Types'!$A:$A,0)),"")</f>
        <v>39</v>
      </c>
      <c r="L157" s="5" t="n">
        <f aca="false">IFERROR(INDEX('Glider Types'!$H:$H,MATCH(D157,'Glider Types'!$A:$A,0)),"")</f>
        <v>185</v>
      </c>
      <c r="M157" s="5" t="n">
        <f aca="false">IFERROR(INDEX('Glider Types'!$I:$I,MATCH(D157,'Glider Types'!$A:$A,0)),"")</f>
        <v>85</v>
      </c>
      <c r="N157" s="13"/>
      <c r="O157" s="13"/>
      <c r="P157" s="13"/>
    </row>
    <row r="158" customFormat="false" ht="15" hidden="false" customHeight="false" outlineLevel="0" collapsed="false">
      <c r="A158" s="5" t="s">
        <v>465</v>
      </c>
      <c r="B158" s="5" t="s">
        <v>466</v>
      </c>
      <c r="C158" s="5" t="s">
        <v>912</v>
      </c>
      <c r="D158" s="5" t="s">
        <v>797</v>
      </c>
      <c r="E158" s="5" t="s">
        <v>870</v>
      </c>
      <c r="F158" s="5" t="n">
        <v>2</v>
      </c>
      <c r="G158" s="5" t="s">
        <v>1078</v>
      </c>
      <c r="H158" s="5" t="s">
        <v>864</v>
      </c>
      <c r="I158" s="5"/>
      <c r="J158" s="5" t="n">
        <f aca="false">IFERROR(INDEX('Glider Types'!$F:$F,MATCH(D158,'Glider Types'!$A:$A,0)),"")</f>
        <v>36.5</v>
      </c>
      <c r="K158" s="5" t="n">
        <f aca="false">IFERROR(INDEX('Glider Types'!$G:$G,MATCH(D158,'Glider Types'!$A:$A,0)),"")</f>
        <v>57</v>
      </c>
      <c r="L158" s="5" t="n">
        <f aca="false">IFERROR(INDEX('Glider Types'!$H:$H,MATCH(D158,'Glider Types'!$A:$A,0)),"")</f>
        <v>122</v>
      </c>
      <c r="M158" s="5" t="n">
        <f aca="false">IFERROR(INDEX('Glider Types'!$I:$I,MATCH(D158,'Glider Types'!$A:$A,0)),"")</f>
        <v>135</v>
      </c>
      <c r="N158" s="13"/>
      <c r="O158" s="13"/>
      <c r="P158" s="13"/>
    </row>
    <row r="159" customFormat="false" ht="15" hidden="false" customHeight="false" outlineLevel="0" collapsed="false">
      <c r="A159" s="5" t="s">
        <v>465</v>
      </c>
      <c r="B159" s="5" t="s">
        <v>466</v>
      </c>
      <c r="C159" s="5" t="s">
        <v>1071</v>
      </c>
      <c r="D159" s="5" t="s">
        <v>754</v>
      </c>
      <c r="E159" s="5" t="s">
        <v>870</v>
      </c>
      <c r="F159" s="5" t="n">
        <v>1</v>
      </c>
      <c r="G159" s="5" t="s">
        <v>1077</v>
      </c>
      <c r="H159" s="5" t="s">
        <v>864</v>
      </c>
      <c r="I159" s="5"/>
      <c r="J159" s="5" t="n">
        <f aca="false">IFERROR(INDEX('Glider Types'!$F:$F,MATCH(D159,'Glider Types'!$A:$A,0)),"")</f>
        <v>23</v>
      </c>
      <c r="K159" s="5" t="n">
        <f aca="false">IFERROR(INDEX('Glider Types'!$G:$G,MATCH(D159,'Glider Types'!$A:$A,0)),"")</f>
        <v>46</v>
      </c>
      <c r="L159" s="5" t="n">
        <f aca="false">IFERROR(INDEX('Glider Types'!$H:$H,MATCH(D159,'Glider Types'!$A:$A,0)),"")</f>
        <v>161</v>
      </c>
      <c r="M159" s="5" t="n">
        <f aca="false">IFERROR(INDEX('Glider Types'!$I:$I,MATCH(D159,'Glider Types'!$A:$A,0)),"")</f>
        <v>99</v>
      </c>
      <c r="N159" s="13"/>
      <c r="O159" s="13"/>
      <c r="P159" s="13"/>
    </row>
    <row r="160" customFormat="false" ht="15" hidden="false" customHeight="false" outlineLevel="0" collapsed="false">
      <c r="A160" s="5" t="s">
        <v>465</v>
      </c>
      <c r="B160" s="5" t="s">
        <v>466</v>
      </c>
      <c r="C160" s="5" t="s">
        <v>1063</v>
      </c>
      <c r="D160" s="5" t="s">
        <v>766</v>
      </c>
      <c r="E160" s="5" t="s">
        <v>870</v>
      </c>
      <c r="F160" s="5" t="n">
        <v>1</v>
      </c>
      <c r="G160" s="5" t="s">
        <v>1077</v>
      </c>
      <c r="H160" s="5" t="s">
        <v>864</v>
      </c>
      <c r="I160" s="5"/>
      <c r="J160" s="5" t="n">
        <f aca="false">IFERROR(INDEX('Glider Types'!$F:$F,MATCH(D160,'Glider Types'!$A:$A,0)),"")</f>
        <v>31</v>
      </c>
      <c r="K160" s="5" t="n">
        <f aca="false">IFERROR(INDEX('Glider Types'!$G:$G,MATCH(D160,'Glider Types'!$A:$A,0)),"")</f>
        <v>46</v>
      </c>
      <c r="L160" s="5" t="n">
        <f aca="false">IFERROR(INDEX('Glider Types'!$H:$H,MATCH(D160,'Glider Types'!$A:$A,0)),"")</f>
        <v>132</v>
      </c>
      <c r="M160" s="5" t="n">
        <f aca="false">IFERROR(INDEX('Glider Types'!$I:$I,MATCH(D160,'Glider Types'!$A:$A,0)),"")</f>
        <v>105</v>
      </c>
      <c r="N160" s="13"/>
      <c r="O160" s="13"/>
      <c r="P160" s="13"/>
    </row>
    <row r="161" customFormat="false" ht="15" hidden="false" customHeight="false" outlineLevel="0" collapsed="false">
      <c r="A161" s="5" t="s">
        <v>486</v>
      </c>
      <c r="B161" s="5" t="s">
        <v>487</v>
      </c>
      <c r="C161" s="5" t="s">
        <v>1079</v>
      </c>
      <c r="D161" s="5" t="s">
        <v>827</v>
      </c>
      <c r="E161" s="5" t="s">
        <v>1080</v>
      </c>
      <c r="F161" s="5" t="n">
        <v>2</v>
      </c>
      <c r="G161" s="5" t="s">
        <v>1081</v>
      </c>
      <c r="H161" s="5" t="s">
        <v>1082</v>
      </c>
      <c r="I161" s="5" t="s">
        <v>1083</v>
      </c>
      <c r="J161" s="5" t="n">
        <f aca="false">IFERROR(INDEX('Glider Types'!$F:$F,MATCH(D161,'Glider Types'!$A:$A,0)),"")</f>
        <v>44</v>
      </c>
      <c r="K161" s="5" t="n">
        <f aca="false">IFERROR(INDEX('Glider Types'!$G:$G,MATCH(D161,'Glider Types'!$A:$A,0)),"")</f>
        <v>57</v>
      </c>
      <c r="L161" s="5" t="n">
        <f aca="false">IFERROR(INDEX('Glider Types'!$H:$H,MATCH(D161,'Glider Types'!$A:$A,0)),"")</f>
        <v>110</v>
      </c>
      <c r="M161" s="5" t="n">
        <f aca="false">IFERROR(INDEX('Glider Types'!$I:$I,MATCH(D161,'Glider Types'!$A:$A,0)),"")</f>
        <v>146</v>
      </c>
      <c r="N161" s="13"/>
      <c r="O161" s="13"/>
      <c r="P161" s="13"/>
    </row>
    <row r="162" customFormat="false" ht="15" hidden="false" customHeight="false" outlineLevel="0" collapsed="false">
      <c r="A162" s="5" t="s">
        <v>486</v>
      </c>
      <c r="B162" s="5" t="s">
        <v>487</v>
      </c>
      <c r="C162" s="5" t="s">
        <v>780</v>
      </c>
      <c r="D162" s="5" t="s">
        <v>779</v>
      </c>
      <c r="E162" s="5" t="s">
        <v>1084</v>
      </c>
      <c r="F162" s="5" t="n">
        <v>2</v>
      </c>
      <c r="G162" s="5" t="s">
        <v>1081</v>
      </c>
      <c r="H162" s="5" t="s">
        <v>1082</v>
      </c>
      <c r="I162" s="5" t="s">
        <v>967</v>
      </c>
      <c r="J162" s="5" t="n">
        <f aca="false">IFERROR(INDEX('Glider Types'!$F:$F,MATCH(D162,'Glider Types'!$A:$A,0)),"")</f>
        <v>34</v>
      </c>
      <c r="K162" s="5" t="n">
        <f aca="false">IFERROR(INDEX('Glider Types'!$G:$G,MATCH(D162,'Glider Types'!$A:$A,0)),"")</f>
        <v>49</v>
      </c>
      <c r="L162" s="5" t="n">
        <f aca="false">IFERROR(INDEX('Glider Types'!$H:$H,MATCH(D162,'Glider Types'!$A:$A,0)),"")</f>
        <v>128</v>
      </c>
      <c r="M162" s="5" t="n">
        <f aca="false">IFERROR(INDEX('Glider Types'!$I:$I,MATCH(D162,'Glider Types'!$A:$A,0)),"")</f>
        <v>151</v>
      </c>
      <c r="N162" s="13"/>
      <c r="O162" s="13"/>
      <c r="P162" s="13"/>
    </row>
    <row r="163" customFormat="false" ht="15" hidden="false" customHeight="false" outlineLevel="0" collapsed="false">
      <c r="A163" s="5" t="s">
        <v>486</v>
      </c>
      <c r="B163" s="5" t="s">
        <v>487</v>
      </c>
      <c r="C163" s="5" t="s">
        <v>818</v>
      </c>
      <c r="D163" s="5" t="s">
        <v>817</v>
      </c>
      <c r="E163" s="5" t="s">
        <v>1085</v>
      </c>
      <c r="F163" s="5" t="n">
        <v>1</v>
      </c>
      <c r="G163" s="5" t="s">
        <v>1081</v>
      </c>
      <c r="H163" s="5" t="s">
        <v>1082</v>
      </c>
      <c r="I163" s="5" t="s">
        <v>840</v>
      </c>
      <c r="J163" s="5" t="n">
        <f aca="false">IFERROR(INDEX('Glider Types'!$F:$F,MATCH(D163,'Glider Types'!$A:$A,0)),"")</f>
        <v>42</v>
      </c>
      <c r="K163" s="5" t="n">
        <f aca="false">IFERROR(INDEX('Glider Types'!$G:$G,MATCH(D163,'Glider Types'!$A:$A,0)),"")</f>
        <v>54</v>
      </c>
      <c r="L163" s="5" t="n">
        <f aca="false">IFERROR(INDEX('Glider Types'!$H:$H,MATCH(D163,'Glider Types'!$A:$A,0)),"")</f>
        <v>116</v>
      </c>
      <c r="M163" s="5" t="n">
        <f aca="false">IFERROR(INDEX('Glider Types'!$I:$I,MATCH(D163,'Glider Types'!$A:$A,0)),"")</f>
        <v>135</v>
      </c>
      <c r="N163" s="13"/>
      <c r="O163" s="13"/>
      <c r="P163" s="13"/>
    </row>
    <row r="164" customFormat="false" ht="15" hidden="false" customHeight="false" outlineLevel="0" collapsed="false">
      <c r="A164" s="5" t="s">
        <v>486</v>
      </c>
      <c r="B164" s="5" t="s">
        <v>487</v>
      </c>
      <c r="C164" s="5" t="s">
        <v>818</v>
      </c>
      <c r="D164" s="5" t="s">
        <v>817</v>
      </c>
      <c r="E164" s="5" t="s">
        <v>1086</v>
      </c>
      <c r="F164" s="5" t="n">
        <v>1</v>
      </c>
      <c r="G164" s="5" t="s">
        <v>1081</v>
      </c>
      <c r="H164" s="5" t="s">
        <v>1082</v>
      </c>
      <c r="I164" s="5" t="s">
        <v>840</v>
      </c>
      <c r="J164" s="5" t="n">
        <f aca="false">IFERROR(INDEX('Glider Types'!$F:$F,MATCH(D164,'Glider Types'!$A:$A,0)),"")</f>
        <v>42</v>
      </c>
      <c r="K164" s="5" t="n">
        <f aca="false">IFERROR(INDEX('Glider Types'!$G:$G,MATCH(D164,'Glider Types'!$A:$A,0)),"")</f>
        <v>54</v>
      </c>
      <c r="L164" s="5" t="n">
        <f aca="false">IFERROR(INDEX('Glider Types'!$H:$H,MATCH(D164,'Glider Types'!$A:$A,0)),"")</f>
        <v>116</v>
      </c>
      <c r="M164" s="5" t="n">
        <f aca="false">IFERROR(INDEX('Glider Types'!$I:$I,MATCH(D164,'Glider Types'!$A:$A,0)),"")</f>
        <v>135</v>
      </c>
      <c r="N164" s="13"/>
      <c r="O164" s="13"/>
      <c r="P164" s="13"/>
    </row>
    <row r="165" customFormat="false" ht="23.85" hidden="false" customHeight="false" outlineLevel="0" collapsed="false">
      <c r="A165" s="5" t="s">
        <v>502</v>
      </c>
      <c r="B165" s="5" t="s">
        <v>503</v>
      </c>
      <c r="C165" s="5" t="s">
        <v>879</v>
      </c>
      <c r="D165" s="5" t="s">
        <v>754</v>
      </c>
      <c r="E165" s="5" t="s">
        <v>870</v>
      </c>
      <c r="F165" s="5" t="n">
        <v>1</v>
      </c>
      <c r="G165" s="5" t="s">
        <v>1087</v>
      </c>
      <c r="H165" s="5" t="s">
        <v>883</v>
      </c>
      <c r="I165" s="5" t="s">
        <v>1088</v>
      </c>
      <c r="J165" s="5" t="n">
        <f aca="false">IFERROR(INDEX('Glider Types'!$F:$F,MATCH(D165,'Glider Types'!$A:$A,0)),"")</f>
        <v>23</v>
      </c>
      <c r="K165" s="5" t="n">
        <f aca="false">IFERROR(INDEX('Glider Types'!$G:$G,MATCH(D165,'Glider Types'!$A:$A,0)),"")</f>
        <v>46</v>
      </c>
      <c r="L165" s="5" t="n">
        <f aca="false">IFERROR(INDEX('Glider Types'!$H:$H,MATCH(D165,'Glider Types'!$A:$A,0)),"")</f>
        <v>161</v>
      </c>
      <c r="M165" s="5" t="n">
        <f aca="false">IFERROR(INDEX('Glider Types'!$I:$I,MATCH(D165,'Glider Types'!$A:$A,0)),"")</f>
        <v>99</v>
      </c>
      <c r="N165" s="13"/>
      <c r="O165" s="13"/>
      <c r="P165" s="13"/>
    </row>
    <row r="166" customFormat="false" ht="23.85" hidden="false" customHeight="false" outlineLevel="0" collapsed="false">
      <c r="A166" s="5" t="s">
        <v>502</v>
      </c>
      <c r="B166" s="5" t="s">
        <v>503</v>
      </c>
      <c r="C166" s="5" t="s">
        <v>1063</v>
      </c>
      <c r="D166" s="5" t="s">
        <v>766</v>
      </c>
      <c r="E166" s="5" t="s">
        <v>870</v>
      </c>
      <c r="F166" s="5" t="n">
        <v>1</v>
      </c>
      <c r="G166" s="5" t="s">
        <v>1089</v>
      </c>
      <c r="H166" s="5" t="s">
        <v>883</v>
      </c>
      <c r="I166" s="5" t="s">
        <v>840</v>
      </c>
      <c r="J166" s="5" t="n">
        <f aca="false">IFERROR(INDEX('Glider Types'!$F:$F,MATCH(D166,'Glider Types'!$A:$A,0)),"")</f>
        <v>31</v>
      </c>
      <c r="K166" s="5" t="n">
        <f aca="false">IFERROR(INDEX('Glider Types'!$G:$G,MATCH(D166,'Glider Types'!$A:$A,0)),"")</f>
        <v>46</v>
      </c>
      <c r="L166" s="5" t="n">
        <f aca="false">IFERROR(INDEX('Glider Types'!$H:$H,MATCH(D166,'Glider Types'!$A:$A,0)),"")</f>
        <v>132</v>
      </c>
      <c r="M166" s="5" t="n">
        <f aca="false">IFERROR(INDEX('Glider Types'!$I:$I,MATCH(D166,'Glider Types'!$A:$A,0)),"")</f>
        <v>105</v>
      </c>
      <c r="N166" s="13"/>
      <c r="O166" s="13"/>
      <c r="P166" s="13"/>
    </row>
    <row r="167" customFormat="false" ht="23.85" hidden="false" customHeight="false" outlineLevel="0" collapsed="false">
      <c r="A167" s="5" t="s">
        <v>502</v>
      </c>
      <c r="B167" s="5" t="s">
        <v>503</v>
      </c>
      <c r="C167" s="5" t="s">
        <v>867</v>
      </c>
      <c r="D167" s="5" t="s">
        <v>741</v>
      </c>
      <c r="E167" s="5" t="s">
        <v>870</v>
      </c>
      <c r="F167" s="5" t="n">
        <v>2</v>
      </c>
      <c r="G167" s="5" t="s">
        <v>1090</v>
      </c>
      <c r="H167" s="5" t="s">
        <v>883</v>
      </c>
      <c r="I167" s="5" t="s">
        <v>744</v>
      </c>
      <c r="J167" s="5" t="n">
        <f aca="false">IFERROR(INDEX('Glider Types'!$F:$F,MATCH(D167,'Glider Types'!$A:$A,0)),"")</f>
        <v>23</v>
      </c>
      <c r="K167" s="5" t="n">
        <f aca="false">IFERROR(INDEX('Glider Types'!$G:$G,MATCH(D167,'Glider Types'!$A:$A,0)),"")</f>
        <v>39</v>
      </c>
      <c r="L167" s="5" t="n">
        <f aca="false">IFERROR(INDEX('Glider Types'!$H:$H,MATCH(D167,'Glider Types'!$A:$A,0)),"")</f>
        <v>185</v>
      </c>
      <c r="M167" s="5" t="n">
        <f aca="false">IFERROR(INDEX('Glider Types'!$I:$I,MATCH(D167,'Glider Types'!$A:$A,0)),"")</f>
        <v>85</v>
      </c>
      <c r="N167" s="13"/>
      <c r="O167" s="13"/>
      <c r="P167" s="13"/>
    </row>
    <row r="168" customFormat="false" ht="23.85" hidden="false" customHeight="false" outlineLevel="0" collapsed="false">
      <c r="A168" s="5" t="s">
        <v>502</v>
      </c>
      <c r="B168" s="5" t="s">
        <v>503</v>
      </c>
      <c r="C168" s="5" t="s">
        <v>1028</v>
      </c>
      <c r="D168" s="5" t="s">
        <v>793</v>
      </c>
      <c r="E168" s="5" t="s">
        <v>870</v>
      </c>
      <c r="F168" s="5" t="n">
        <v>1</v>
      </c>
      <c r="G168" s="5" t="s">
        <v>1091</v>
      </c>
      <c r="H168" s="5" t="s">
        <v>883</v>
      </c>
      <c r="I168" s="5" t="s">
        <v>796</v>
      </c>
      <c r="J168" s="5" t="n">
        <f aca="false">IFERROR(INDEX('Glider Types'!$F:$F,MATCH(D168,'Glider Types'!$A:$A,0)),"")</f>
        <v>33</v>
      </c>
      <c r="K168" s="5" t="n">
        <f aca="false">IFERROR(INDEX('Glider Types'!$G:$G,MATCH(D168,'Glider Types'!$A:$A,0)),"")</f>
        <v>43</v>
      </c>
      <c r="L168" s="5" t="n">
        <f aca="false">IFERROR(INDEX('Glider Types'!$H:$H,MATCH(D168,'Glider Types'!$A:$A,0)),"")</f>
        <v>126</v>
      </c>
      <c r="M168" s="5" t="n">
        <f aca="false">IFERROR(INDEX('Glider Types'!$I:$I,MATCH(D168,'Glider Types'!$A:$A,0)),"")</f>
        <v>119</v>
      </c>
      <c r="N168" s="13"/>
      <c r="O168" s="13"/>
      <c r="P168" s="13"/>
    </row>
    <row r="169" customFormat="false" ht="23.85" hidden="false" customHeight="false" outlineLevel="0" collapsed="false">
      <c r="A169" s="5" t="s">
        <v>502</v>
      </c>
      <c r="B169" s="5" t="s">
        <v>503</v>
      </c>
      <c r="C169" s="5" t="s">
        <v>838</v>
      </c>
      <c r="D169" s="5" t="s">
        <v>837</v>
      </c>
      <c r="E169" s="5" t="s">
        <v>870</v>
      </c>
      <c r="F169" s="5" t="n">
        <v>1</v>
      </c>
      <c r="G169" s="5" t="s">
        <v>1092</v>
      </c>
      <c r="H169" s="5" t="s">
        <v>883</v>
      </c>
      <c r="I169" s="5" t="s">
        <v>840</v>
      </c>
      <c r="J169" s="5" t="n">
        <f aca="false">IFERROR(INDEX('Glider Types'!$F:$F,MATCH(D169,'Glider Types'!$A:$A,0)),"")</f>
        <v>42</v>
      </c>
      <c r="K169" s="5" t="n">
        <f aca="false">IFERROR(INDEX('Glider Types'!$G:$G,MATCH(D169,'Glider Types'!$A:$A,0)),"")</f>
        <v>54</v>
      </c>
      <c r="L169" s="5" t="n">
        <f aca="false">IFERROR(INDEX('Glider Types'!$H:$H,MATCH(D169,'Glider Types'!$A:$A,0)),"")</f>
        <v>114</v>
      </c>
      <c r="M169" s="5" t="n">
        <f aca="false">IFERROR(INDEX('Glider Types'!$I:$I,MATCH(D169,'Glider Types'!$A:$A,0)),"")</f>
        <v>148</v>
      </c>
      <c r="N169" s="13"/>
      <c r="O169" s="13"/>
      <c r="P169" s="13"/>
    </row>
    <row r="170" customFormat="false" ht="23.85" hidden="false" customHeight="false" outlineLevel="0" collapsed="false">
      <c r="A170" s="5" t="s">
        <v>502</v>
      </c>
      <c r="B170" s="5" t="s">
        <v>503</v>
      </c>
      <c r="C170" s="5" t="s">
        <v>1093</v>
      </c>
      <c r="D170" s="5" t="s">
        <v>797</v>
      </c>
      <c r="E170" s="5" t="s">
        <v>870</v>
      </c>
      <c r="F170" s="5" t="n">
        <v>2</v>
      </c>
      <c r="G170" s="5" t="s">
        <v>1094</v>
      </c>
      <c r="H170" s="5" t="s">
        <v>883</v>
      </c>
      <c r="I170" s="5" t="s">
        <v>1095</v>
      </c>
      <c r="J170" s="5" t="n">
        <f aca="false">IFERROR(INDEX('Glider Types'!$F:$F,MATCH(D170,'Glider Types'!$A:$A,0)),"")</f>
        <v>36.5</v>
      </c>
      <c r="K170" s="5" t="n">
        <f aca="false">IFERROR(INDEX('Glider Types'!$G:$G,MATCH(D170,'Glider Types'!$A:$A,0)),"")</f>
        <v>57</v>
      </c>
      <c r="L170" s="5" t="n">
        <f aca="false">IFERROR(INDEX('Glider Types'!$H:$H,MATCH(D170,'Glider Types'!$A:$A,0)),"")</f>
        <v>122</v>
      </c>
      <c r="M170" s="5" t="n">
        <f aca="false">IFERROR(INDEX('Glider Types'!$I:$I,MATCH(D170,'Glider Types'!$A:$A,0)),"")</f>
        <v>135</v>
      </c>
      <c r="N170" s="13"/>
      <c r="O170" s="13"/>
      <c r="P170" s="13"/>
    </row>
    <row r="171" customFormat="false" ht="23.85" hidden="false" customHeight="false" outlineLevel="0" collapsed="false">
      <c r="A171" s="5" t="s">
        <v>502</v>
      </c>
      <c r="B171" s="5" t="s">
        <v>503</v>
      </c>
      <c r="C171" s="5" t="s">
        <v>780</v>
      </c>
      <c r="D171" s="5" t="s">
        <v>779</v>
      </c>
      <c r="E171" s="5" t="s">
        <v>870</v>
      </c>
      <c r="F171" s="5" t="n">
        <v>2</v>
      </c>
      <c r="G171" s="5" t="s">
        <v>1096</v>
      </c>
      <c r="H171" s="5" t="s">
        <v>883</v>
      </c>
      <c r="I171" s="5" t="s">
        <v>967</v>
      </c>
      <c r="J171" s="5" t="n">
        <f aca="false">IFERROR(INDEX('Glider Types'!$F:$F,MATCH(D171,'Glider Types'!$A:$A,0)),"")</f>
        <v>34</v>
      </c>
      <c r="K171" s="5" t="n">
        <f aca="false">IFERROR(INDEX('Glider Types'!$G:$G,MATCH(D171,'Glider Types'!$A:$A,0)),"")</f>
        <v>49</v>
      </c>
      <c r="L171" s="5" t="n">
        <f aca="false">IFERROR(INDEX('Glider Types'!$H:$H,MATCH(D171,'Glider Types'!$A:$A,0)),"")</f>
        <v>128</v>
      </c>
      <c r="M171" s="5" t="n">
        <f aca="false">IFERROR(INDEX('Glider Types'!$I:$I,MATCH(D171,'Glider Types'!$A:$A,0)),"")</f>
        <v>151</v>
      </c>
      <c r="N171" s="13"/>
      <c r="O171" s="13"/>
      <c r="P171" s="13"/>
    </row>
    <row r="172" customFormat="false" ht="23.85" hidden="false" customHeight="false" outlineLevel="0" collapsed="false">
      <c r="A172" s="5" t="s">
        <v>502</v>
      </c>
      <c r="B172" s="5" t="s">
        <v>503</v>
      </c>
      <c r="C172" s="5" t="s">
        <v>1097</v>
      </c>
      <c r="D172" s="5" t="s">
        <v>841</v>
      </c>
      <c r="E172" s="5" t="s">
        <v>870</v>
      </c>
      <c r="F172" s="5" t="n">
        <v>1</v>
      </c>
      <c r="G172" s="5" t="s">
        <v>1098</v>
      </c>
      <c r="H172" s="5" t="s">
        <v>883</v>
      </c>
      <c r="I172" s="5" t="s">
        <v>843</v>
      </c>
      <c r="J172" s="5" t="n">
        <f aca="false">IFERROR(INDEX('Glider Types'!$F:$F,MATCH(D172,'Glider Types'!$A:$A,0)),"")</f>
        <v>29</v>
      </c>
      <c r="K172" s="5" t="n">
        <f aca="false">IFERROR(INDEX('Glider Types'!$G:$G,MATCH(D172,'Glider Types'!$A:$A,0)),"")</f>
        <v>51</v>
      </c>
      <c r="L172" s="5" t="n">
        <f aca="false">IFERROR(INDEX('Glider Types'!$H:$H,MATCH(D172,'Glider Types'!$A:$A,0)),"")</f>
        <v>148</v>
      </c>
      <c r="M172" s="5" t="n">
        <f aca="false">IFERROR(INDEX('Glider Types'!$I:$I,MATCH(D172,'Glider Types'!$A:$A,0)),"")</f>
        <v>157</v>
      </c>
      <c r="N172" s="13"/>
      <c r="O172" s="13"/>
      <c r="P172" s="13"/>
    </row>
    <row r="173" customFormat="false" ht="23.85" hidden="false" customHeight="false" outlineLevel="0" collapsed="false">
      <c r="A173" s="5" t="s">
        <v>514</v>
      </c>
      <c r="B173" s="5" t="s">
        <v>515</v>
      </c>
      <c r="C173" s="5" t="s">
        <v>867</v>
      </c>
      <c r="D173" s="5" t="s">
        <v>741</v>
      </c>
      <c r="E173" s="5" t="s">
        <v>870</v>
      </c>
      <c r="F173" s="5" t="n">
        <v>2</v>
      </c>
      <c r="G173" s="5"/>
      <c r="H173" s="5" t="s">
        <v>864</v>
      </c>
      <c r="I173" s="5" t="s">
        <v>744</v>
      </c>
      <c r="J173" s="5" t="n">
        <f aca="false">IFERROR(INDEX('Glider Types'!$F:$F,MATCH(D173,'Glider Types'!$A:$A,0)),"")</f>
        <v>23</v>
      </c>
      <c r="K173" s="5" t="n">
        <f aca="false">IFERROR(INDEX('Glider Types'!$G:$G,MATCH(D173,'Glider Types'!$A:$A,0)),"")</f>
        <v>39</v>
      </c>
      <c r="L173" s="5" t="n">
        <f aca="false">IFERROR(INDEX('Glider Types'!$H:$H,MATCH(D173,'Glider Types'!$A:$A,0)),"")</f>
        <v>185</v>
      </c>
      <c r="M173" s="5" t="n">
        <f aca="false">IFERROR(INDEX('Glider Types'!$I:$I,MATCH(D173,'Glider Types'!$A:$A,0)),"")</f>
        <v>85</v>
      </c>
      <c r="N173" s="13"/>
      <c r="O173" s="13"/>
      <c r="P173" s="13"/>
    </row>
    <row r="174" customFormat="false" ht="23.85" hidden="false" customHeight="false" outlineLevel="0" collapsed="false">
      <c r="A174" s="5" t="s">
        <v>514</v>
      </c>
      <c r="B174" s="5" t="s">
        <v>515</v>
      </c>
      <c r="C174" s="5" t="s">
        <v>1065</v>
      </c>
      <c r="D174" s="5" t="s">
        <v>772</v>
      </c>
      <c r="E174" s="5" t="s">
        <v>870</v>
      </c>
      <c r="F174" s="5" t="n">
        <v>2</v>
      </c>
      <c r="G174" s="5"/>
      <c r="H174" s="5" t="s">
        <v>864</v>
      </c>
      <c r="I174" s="5" t="s">
        <v>744</v>
      </c>
      <c r="J174" s="5" t="n">
        <f aca="false">IFERROR(INDEX('Glider Types'!$F:$F,MATCH(D174,'Glider Types'!$A:$A,0)),"")</f>
        <v>28</v>
      </c>
      <c r="K174" s="5" t="n">
        <f aca="false">IFERROR(INDEX('Glider Types'!$G:$G,MATCH(D174,'Glider Types'!$A:$A,0)),"")</f>
        <v>49</v>
      </c>
      <c r="L174" s="5" t="n">
        <f aca="false">IFERROR(INDEX('Glider Types'!$H:$H,MATCH(D174,'Glider Types'!$A:$A,0)),"")</f>
        <v>148</v>
      </c>
      <c r="M174" s="5" t="n">
        <f aca="false">IFERROR(INDEX('Glider Types'!$I:$I,MATCH(D174,'Glider Types'!$A:$A,0)),"")</f>
        <v>135</v>
      </c>
      <c r="N174" s="13"/>
      <c r="O174" s="13"/>
      <c r="P174" s="13"/>
    </row>
    <row r="175" customFormat="false" ht="23.85" hidden="false" customHeight="false" outlineLevel="0" collapsed="false">
      <c r="A175" s="5" t="s">
        <v>514</v>
      </c>
      <c r="B175" s="5" t="s">
        <v>515</v>
      </c>
      <c r="C175" s="5" t="s">
        <v>1099</v>
      </c>
      <c r="D175" s="5" t="s">
        <v>754</v>
      </c>
      <c r="E175" s="5" t="s">
        <v>870</v>
      </c>
      <c r="F175" s="5" t="n">
        <v>1</v>
      </c>
      <c r="G175" s="5"/>
      <c r="H175" s="5" t="s">
        <v>864</v>
      </c>
      <c r="I175" s="5"/>
      <c r="J175" s="5" t="n">
        <f aca="false">IFERROR(INDEX('Glider Types'!$F:$F,MATCH(D175,'Glider Types'!$A:$A,0)),"")</f>
        <v>23</v>
      </c>
      <c r="K175" s="5" t="n">
        <f aca="false">IFERROR(INDEX('Glider Types'!$G:$G,MATCH(D175,'Glider Types'!$A:$A,0)),"")</f>
        <v>46</v>
      </c>
      <c r="L175" s="5" t="n">
        <f aca="false">IFERROR(INDEX('Glider Types'!$H:$H,MATCH(D175,'Glider Types'!$A:$A,0)),"")</f>
        <v>161</v>
      </c>
      <c r="M175" s="5" t="n">
        <f aca="false">IFERROR(INDEX('Glider Types'!$I:$I,MATCH(D175,'Glider Types'!$A:$A,0)),"")</f>
        <v>99</v>
      </c>
      <c r="N175" s="13"/>
      <c r="O175" s="13"/>
      <c r="P175" s="13"/>
    </row>
    <row r="176" customFormat="false" ht="23.85" hidden="false" customHeight="false" outlineLevel="0" collapsed="false">
      <c r="A176" s="5" t="s">
        <v>514</v>
      </c>
      <c r="B176" s="5" t="s">
        <v>515</v>
      </c>
      <c r="C176" s="5" t="s">
        <v>1100</v>
      </c>
      <c r="D176" s="5" t="s">
        <v>746</v>
      </c>
      <c r="E176" s="5" t="s">
        <v>870</v>
      </c>
      <c r="F176" s="5" t="n">
        <v>3</v>
      </c>
      <c r="G176" s="5"/>
      <c r="H176" s="5" t="s">
        <v>864</v>
      </c>
      <c r="I176" s="5" t="s">
        <v>744</v>
      </c>
      <c r="J176" s="5" t="n">
        <f aca="false">IFERROR(INDEX('Glider Types'!$F:$F,MATCH(D176,'Glider Types'!$A:$A,0)),"")</f>
        <v>34</v>
      </c>
      <c r="K176" s="5" t="n">
        <f aca="false">IFERROR(INDEX('Glider Types'!$G:$G,MATCH(D176,'Glider Types'!$A:$A,0)),"")</f>
        <v>51</v>
      </c>
      <c r="L176" s="5" t="n">
        <f aca="false">IFERROR(INDEX('Glider Types'!$H:$H,MATCH(D176,'Glider Types'!$A:$A,0)),"")</f>
        <v>144</v>
      </c>
      <c r="M176" s="5" t="n">
        <f aca="false">IFERROR(INDEX('Glider Types'!$I:$I,MATCH(D176,'Glider Types'!$A:$A,0)),"")</f>
        <v>137</v>
      </c>
      <c r="N176" s="13"/>
      <c r="O176" s="13"/>
      <c r="P176" s="13"/>
    </row>
    <row r="177" customFormat="false" ht="23.85" hidden="false" customHeight="false" outlineLevel="0" collapsed="false">
      <c r="A177" s="5" t="s">
        <v>491</v>
      </c>
      <c r="B177" s="5" t="s">
        <v>492</v>
      </c>
      <c r="C177" s="5" t="s">
        <v>1061</v>
      </c>
      <c r="D177" s="5" t="s">
        <v>797</v>
      </c>
      <c r="E177" s="5" t="s">
        <v>1101</v>
      </c>
      <c r="F177" s="5" t="n">
        <v>2</v>
      </c>
      <c r="G177" s="5"/>
      <c r="H177" s="5" t="s">
        <v>864</v>
      </c>
      <c r="I177" s="5" t="s">
        <v>1102</v>
      </c>
      <c r="J177" s="5" t="n">
        <f aca="false">IFERROR(INDEX('Glider Types'!$F:$F,MATCH(D177,'Glider Types'!$A:$A,0)),"")</f>
        <v>36.5</v>
      </c>
      <c r="K177" s="5" t="n">
        <f aca="false">IFERROR(INDEX('Glider Types'!$G:$G,MATCH(D177,'Glider Types'!$A:$A,0)),"")</f>
        <v>57</v>
      </c>
      <c r="L177" s="5" t="n">
        <f aca="false">IFERROR(INDEX('Glider Types'!$H:$H,MATCH(D177,'Glider Types'!$A:$A,0)),"")</f>
        <v>122</v>
      </c>
      <c r="M177" s="5" t="n">
        <f aca="false">IFERROR(INDEX('Glider Types'!$I:$I,MATCH(D177,'Glider Types'!$A:$A,0)),"")</f>
        <v>135</v>
      </c>
      <c r="N177" s="13"/>
      <c r="O177" s="13"/>
      <c r="P177" s="13"/>
    </row>
    <row r="178" customFormat="false" ht="23.85" hidden="false" customHeight="false" outlineLevel="0" collapsed="false">
      <c r="A178" s="5" t="s">
        <v>491</v>
      </c>
      <c r="B178" s="5" t="s">
        <v>492</v>
      </c>
      <c r="C178" s="5" t="s">
        <v>1103</v>
      </c>
      <c r="D178" s="5" t="s">
        <v>797</v>
      </c>
      <c r="E178" s="5" t="s">
        <v>1104</v>
      </c>
      <c r="F178" s="5" t="n">
        <v>2</v>
      </c>
      <c r="G178" s="5"/>
      <c r="H178" s="5" t="s">
        <v>864</v>
      </c>
      <c r="I178" s="5" t="s">
        <v>1102</v>
      </c>
      <c r="J178" s="5" t="n">
        <f aca="false">IFERROR(INDEX('Glider Types'!$F:$F,MATCH(D178,'Glider Types'!$A:$A,0)),"")</f>
        <v>36.5</v>
      </c>
      <c r="K178" s="5" t="n">
        <f aca="false">IFERROR(INDEX('Glider Types'!$G:$G,MATCH(D178,'Glider Types'!$A:$A,0)),"")</f>
        <v>57</v>
      </c>
      <c r="L178" s="5" t="n">
        <f aca="false">IFERROR(INDEX('Glider Types'!$H:$H,MATCH(D178,'Glider Types'!$A:$A,0)),"")</f>
        <v>122</v>
      </c>
      <c r="M178" s="5" t="n">
        <f aca="false">IFERROR(INDEX('Glider Types'!$I:$I,MATCH(D178,'Glider Types'!$A:$A,0)),"")</f>
        <v>135</v>
      </c>
      <c r="N178" s="13"/>
      <c r="O178" s="13"/>
      <c r="P178" s="13"/>
    </row>
    <row r="179" customFormat="false" ht="23.85" hidden="false" customHeight="false" outlineLevel="0" collapsed="false">
      <c r="A179" s="5" t="s">
        <v>491</v>
      </c>
      <c r="B179" s="5" t="s">
        <v>492</v>
      </c>
      <c r="C179" s="5" t="s">
        <v>807</v>
      </c>
      <c r="D179" s="5" t="s">
        <v>806</v>
      </c>
      <c r="E179" s="5" t="s">
        <v>870</v>
      </c>
      <c r="F179" s="5" t="n">
        <v>1</v>
      </c>
      <c r="G179" s="5"/>
      <c r="H179" s="5" t="s">
        <v>864</v>
      </c>
      <c r="I179" s="5"/>
      <c r="J179" s="5" t="n">
        <f aca="false">IFERROR(INDEX('Glider Types'!$F:$F,MATCH(D179,'Glider Types'!$A:$A,0)),"")</f>
        <v>35</v>
      </c>
      <c r="K179" s="5" t="n">
        <f aca="false">IFERROR(INDEX('Glider Types'!$G:$G,MATCH(D179,'Glider Types'!$A:$A,0)),"")</f>
        <v>46</v>
      </c>
      <c r="L179" s="5" t="n">
        <f aca="false">IFERROR(INDEX('Glider Types'!$H:$H,MATCH(D179,'Glider Types'!$A:$A,0)),"")</f>
        <v>126</v>
      </c>
      <c r="M179" s="5" t="n">
        <f aca="false">IFERROR(INDEX('Glider Types'!$I:$I,MATCH(D179,'Glider Types'!$A:$A,0)),"")</f>
        <v>130</v>
      </c>
      <c r="N179" s="13"/>
      <c r="O179" s="13"/>
      <c r="P179" s="13"/>
    </row>
  </sheetData>
  <autoFilter ref="A1:P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28"/>
    <col collapsed="false" customWidth="true" hidden="false" outlineLevel="0" max="6" min="6" style="0" width="40"/>
  </cols>
  <sheetData>
    <row r="1" customFormat="false" ht="23.85" hidden="false" customHeight="false" outlineLevel="0" collapsed="false">
      <c r="A1" s="4" t="s">
        <v>1105</v>
      </c>
      <c r="B1" s="4" t="s">
        <v>1106</v>
      </c>
      <c r="C1" s="4" t="s">
        <v>1107</v>
      </c>
      <c r="D1" s="4" t="s">
        <v>1108</v>
      </c>
      <c r="E1" s="4" t="s">
        <v>1109</v>
      </c>
      <c r="F1" s="4" t="s">
        <v>1110</v>
      </c>
    </row>
    <row r="2" customFormat="false" ht="15" hidden="false" customHeight="false" outlineLevel="0" collapsed="false">
      <c r="A2" s="5" t="s">
        <v>1111</v>
      </c>
      <c r="B2" s="5" t="s">
        <v>1112</v>
      </c>
      <c r="C2" s="5" t="s">
        <v>1113</v>
      </c>
      <c r="D2" s="5" t="s">
        <v>1114</v>
      </c>
      <c r="E2" s="5" t="s">
        <v>1115</v>
      </c>
      <c r="F2" s="5" t="s">
        <v>1116</v>
      </c>
    </row>
    <row r="3" customFormat="false" ht="15" hidden="false" customHeight="false" outlineLevel="0" collapsed="false">
      <c r="A3" s="5" t="s">
        <v>1111</v>
      </c>
      <c r="B3" s="5" t="s">
        <v>1117</v>
      </c>
      <c r="C3" s="5" t="s">
        <v>1118</v>
      </c>
      <c r="D3" s="5" t="s">
        <v>1119</v>
      </c>
      <c r="E3" s="5" t="s">
        <v>1120</v>
      </c>
      <c r="F3" s="5" t="s">
        <v>1121</v>
      </c>
    </row>
    <row r="4" customFormat="false" ht="15" hidden="false" customHeight="false" outlineLevel="0" collapsed="false">
      <c r="A4" s="5" t="s">
        <v>1111</v>
      </c>
      <c r="B4" s="5" t="s">
        <v>1122</v>
      </c>
      <c r="C4" s="5" t="s">
        <v>1118</v>
      </c>
      <c r="D4" s="5" t="s">
        <v>1123</v>
      </c>
      <c r="E4" s="5" t="s">
        <v>1124</v>
      </c>
      <c r="F4" s="5" t="s">
        <v>1125</v>
      </c>
    </row>
    <row r="5" customFormat="false" ht="15" hidden="false" customHeight="false" outlineLevel="0" collapsed="false">
      <c r="A5" s="5" t="s">
        <v>1111</v>
      </c>
      <c r="B5" s="5" t="s">
        <v>1126</v>
      </c>
      <c r="C5" s="5" t="s">
        <v>1127</v>
      </c>
      <c r="D5" s="5" t="s">
        <v>1128</v>
      </c>
      <c r="E5" s="5" t="s">
        <v>1129</v>
      </c>
      <c r="F5" s="5" t="s">
        <v>1130</v>
      </c>
    </row>
    <row r="6" customFormat="false" ht="15" hidden="false" customHeight="false" outlineLevel="0" collapsed="false">
      <c r="A6" s="5" t="s">
        <v>1111</v>
      </c>
      <c r="B6" s="5" t="s">
        <v>1131</v>
      </c>
      <c r="C6" s="5" t="s">
        <v>1132</v>
      </c>
      <c r="D6" s="5" t="s">
        <v>1133</v>
      </c>
      <c r="E6" s="5" t="s">
        <v>1134</v>
      </c>
      <c r="F6" s="5" t="s">
        <v>1135</v>
      </c>
    </row>
    <row r="7" customFormat="false" ht="15" hidden="false" customHeight="false" outlineLevel="0" collapsed="false">
      <c r="A7" s="5" t="s">
        <v>1111</v>
      </c>
      <c r="B7" s="5" t="s">
        <v>1136</v>
      </c>
      <c r="C7" s="5" t="s">
        <v>1137</v>
      </c>
      <c r="D7" s="5" t="s">
        <v>1138</v>
      </c>
      <c r="E7" s="5" t="s">
        <v>1139</v>
      </c>
      <c r="F7" s="5" t="s">
        <v>1140</v>
      </c>
    </row>
    <row r="8" customFormat="false" ht="15" hidden="false" customHeight="false" outlineLevel="0" collapsed="false">
      <c r="A8" s="5" t="s">
        <v>1111</v>
      </c>
      <c r="B8" s="5" t="s">
        <v>1141</v>
      </c>
      <c r="C8" s="5" t="s">
        <v>1142</v>
      </c>
      <c r="D8" s="5" t="s">
        <v>1143</v>
      </c>
      <c r="E8" s="5" t="s">
        <v>1144</v>
      </c>
      <c r="F8" s="5" t="s">
        <v>1145</v>
      </c>
    </row>
    <row r="9" customFormat="false" ht="15" hidden="false" customHeight="false" outlineLevel="0" collapsed="false">
      <c r="A9" s="5" t="s">
        <v>1111</v>
      </c>
      <c r="B9" s="5" t="s">
        <v>1146</v>
      </c>
      <c r="C9" s="5" t="s">
        <v>1132</v>
      </c>
      <c r="D9" s="5" t="s">
        <v>1147</v>
      </c>
      <c r="E9" s="5" t="s">
        <v>1148</v>
      </c>
      <c r="F9" s="5" t="s">
        <v>1149</v>
      </c>
    </row>
    <row r="10" customFormat="false" ht="15" hidden="false" customHeight="false" outlineLevel="0" collapsed="false">
      <c r="A10" s="5" t="s">
        <v>1150</v>
      </c>
      <c r="B10" s="5" t="s">
        <v>1151</v>
      </c>
      <c r="C10" s="5" t="s">
        <v>1152</v>
      </c>
      <c r="D10" s="5" t="s">
        <v>1153</v>
      </c>
      <c r="E10" s="5" t="s">
        <v>1154</v>
      </c>
      <c r="F10" s="5" t="s">
        <v>1155</v>
      </c>
    </row>
    <row r="11" customFormat="false" ht="15" hidden="false" customHeight="false" outlineLevel="0" collapsed="false">
      <c r="A11" s="5" t="s">
        <v>1150</v>
      </c>
      <c r="B11" s="5" t="s">
        <v>1156</v>
      </c>
      <c r="C11" s="5" t="s">
        <v>1157</v>
      </c>
      <c r="D11" s="5" t="s">
        <v>1158</v>
      </c>
      <c r="E11" s="5" t="s">
        <v>1159</v>
      </c>
      <c r="F11" s="5" t="s">
        <v>1160</v>
      </c>
    </row>
    <row r="12" customFormat="false" ht="15" hidden="false" customHeight="false" outlineLevel="0" collapsed="false">
      <c r="A12" s="5" t="s">
        <v>1150</v>
      </c>
      <c r="B12" s="5" t="s">
        <v>1161</v>
      </c>
      <c r="C12" s="5" t="s">
        <v>1162</v>
      </c>
      <c r="D12" s="5" t="s">
        <v>1163</v>
      </c>
      <c r="E12" s="5" t="s">
        <v>1164</v>
      </c>
      <c r="F12" s="5" t="s">
        <v>1165</v>
      </c>
    </row>
    <row r="13" customFormat="false" ht="15" hidden="false" customHeight="false" outlineLevel="0" collapsed="false">
      <c r="A13" s="5" t="s">
        <v>1150</v>
      </c>
      <c r="B13" s="5" t="s">
        <v>1166</v>
      </c>
      <c r="C13" s="5" t="s">
        <v>1167</v>
      </c>
      <c r="D13" s="5" t="s">
        <v>1168</v>
      </c>
      <c r="E13" s="5" t="s">
        <v>1169</v>
      </c>
      <c r="F13" s="5" t="s">
        <v>1170</v>
      </c>
    </row>
    <row r="14" customFormat="false" ht="15" hidden="false" customHeight="false" outlineLevel="0" collapsed="false">
      <c r="A14" s="5" t="s">
        <v>1150</v>
      </c>
      <c r="B14" s="5" t="s">
        <v>1171</v>
      </c>
      <c r="C14" s="5" t="s">
        <v>1172</v>
      </c>
      <c r="D14" s="5" t="s">
        <v>1173</v>
      </c>
      <c r="E14" s="5" t="s">
        <v>1174</v>
      </c>
      <c r="F14" s="5" t="s">
        <v>1175</v>
      </c>
    </row>
    <row r="15" customFormat="false" ht="15" hidden="false" customHeight="false" outlineLevel="0" collapsed="false">
      <c r="A15" s="5" t="s">
        <v>1150</v>
      </c>
      <c r="B15" s="5" t="s">
        <v>1176</v>
      </c>
      <c r="C15" s="5" t="s">
        <v>1177</v>
      </c>
      <c r="D15" s="5" t="s">
        <v>1178</v>
      </c>
      <c r="E15" s="5" t="s">
        <v>1179</v>
      </c>
      <c r="F15" s="5" t="s">
        <v>1180</v>
      </c>
    </row>
    <row r="16" customFormat="false" ht="15" hidden="false" customHeight="false" outlineLevel="0" collapsed="false">
      <c r="A16" s="5" t="s">
        <v>1150</v>
      </c>
      <c r="B16" s="5" t="s">
        <v>1181</v>
      </c>
      <c r="C16" s="5" t="s">
        <v>1167</v>
      </c>
      <c r="D16" s="5" t="s">
        <v>1182</v>
      </c>
      <c r="E16" s="5" t="s">
        <v>1183</v>
      </c>
      <c r="F16" s="5" t="s">
        <v>1184</v>
      </c>
    </row>
    <row r="17" customFormat="false" ht="15" hidden="false" customHeight="false" outlineLevel="0" collapsed="false">
      <c r="A17" s="5" t="s">
        <v>1150</v>
      </c>
      <c r="B17" s="5" t="s">
        <v>1185</v>
      </c>
      <c r="C17" s="5" t="s">
        <v>1186</v>
      </c>
      <c r="D17" s="5" t="s">
        <v>1187</v>
      </c>
      <c r="E17" s="5" t="s">
        <v>1188</v>
      </c>
      <c r="F17" s="5" t="s">
        <v>1189</v>
      </c>
    </row>
    <row r="18" customFormat="false" ht="15" hidden="false" customHeight="false" outlineLevel="0" collapsed="false">
      <c r="A18" s="5" t="s">
        <v>1190</v>
      </c>
      <c r="B18" s="5" t="s">
        <v>1191</v>
      </c>
      <c r="C18" s="5" t="s">
        <v>1118</v>
      </c>
      <c r="D18" s="5" t="s">
        <v>1192</v>
      </c>
      <c r="E18" s="5" t="s">
        <v>1193</v>
      </c>
      <c r="F18" s="5" t="s">
        <v>1194</v>
      </c>
    </row>
    <row r="19" customFormat="false" ht="15" hidden="false" customHeight="false" outlineLevel="0" collapsed="false">
      <c r="A19" s="5" t="s">
        <v>1190</v>
      </c>
      <c r="B19" s="5" t="s">
        <v>1195</v>
      </c>
      <c r="C19" s="5" t="s">
        <v>1167</v>
      </c>
      <c r="D19" s="5" t="s">
        <v>1196</v>
      </c>
      <c r="E19" s="5" t="s">
        <v>1197</v>
      </c>
      <c r="F19" s="5" t="s">
        <v>1198</v>
      </c>
    </row>
    <row r="20" customFormat="false" ht="15" hidden="false" customHeight="false" outlineLevel="0" collapsed="false">
      <c r="A20" s="5" t="s">
        <v>1190</v>
      </c>
      <c r="B20" s="5" t="s">
        <v>1199</v>
      </c>
      <c r="C20" s="5" t="s">
        <v>1157</v>
      </c>
      <c r="D20" s="5" t="s">
        <v>1200</v>
      </c>
      <c r="E20" s="5" t="s">
        <v>1201</v>
      </c>
      <c r="F20" s="5" t="s">
        <v>1202</v>
      </c>
    </row>
    <row r="21" customFormat="false" ht="15" hidden="false" customHeight="false" outlineLevel="0" collapsed="false">
      <c r="A21" s="5" t="s">
        <v>1190</v>
      </c>
      <c r="B21" s="5" t="s">
        <v>1203</v>
      </c>
      <c r="C21" s="5" t="s">
        <v>1172</v>
      </c>
      <c r="D21" s="5" t="s">
        <v>1204</v>
      </c>
      <c r="E21" s="5" t="s">
        <v>1205</v>
      </c>
      <c r="F21" s="5" t="s">
        <v>1206</v>
      </c>
    </row>
    <row r="22" customFormat="false" ht="15" hidden="false" customHeight="false" outlineLevel="0" collapsed="false">
      <c r="A22" s="5" t="s">
        <v>1190</v>
      </c>
      <c r="B22" s="5" t="s">
        <v>1207</v>
      </c>
      <c r="C22" s="5" t="s">
        <v>1208</v>
      </c>
      <c r="D22" s="5" t="s">
        <v>1209</v>
      </c>
      <c r="E22" s="5" t="s">
        <v>1209</v>
      </c>
      <c r="F22" s="5" t="s">
        <v>1210</v>
      </c>
    </row>
    <row r="24" customFormat="false" ht="15" hidden="false" customHeight="false" outlineLevel="0" collapsed="false">
      <c r="A24" s="12" t="s">
        <v>1211</v>
      </c>
    </row>
    <row r="25" customFormat="false" ht="15" hidden="false" customHeight="false" outlineLevel="0" collapsed="false">
      <c r="A25" s="12" t="s">
        <v>1212</v>
      </c>
    </row>
    <row r="26" customFormat="false" ht="15" hidden="false" customHeight="false" outlineLevel="0" collapsed="false">
      <c r="A26" s="12" t="s">
        <v>1213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34"/>
    <col collapsed="false" customWidth="true" hidden="false" outlineLevel="0" max="8" min="8" style="0" width="28"/>
    <col collapsed="false" customWidth="true" hidden="false" outlineLevel="0" max="9" min="9" style="0" width="16"/>
  </cols>
  <sheetData>
    <row r="1" customFormat="false" ht="23.85" hidden="false" customHeight="false" outlineLevel="0" collapsed="false">
      <c r="A1" s="4" t="s">
        <v>1214</v>
      </c>
      <c r="B1" s="4" t="s">
        <v>850</v>
      </c>
      <c r="C1" s="4" t="s">
        <v>26</v>
      </c>
      <c r="D1" s="4" t="s">
        <v>1215</v>
      </c>
      <c r="E1" s="4" t="s">
        <v>1216</v>
      </c>
      <c r="F1" s="4" t="s">
        <v>1217</v>
      </c>
      <c r="G1" s="4" t="s">
        <v>1218</v>
      </c>
      <c r="H1" s="4" t="s">
        <v>1219</v>
      </c>
      <c r="I1" s="4" t="s">
        <v>1220</v>
      </c>
    </row>
    <row r="2" customFormat="false" ht="23.85" hidden="false" customHeight="false" outlineLevel="0" collapsed="false">
      <c r="A2" s="5" t="s">
        <v>1221</v>
      </c>
      <c r="B2" s="5" t="s">
        <v>44</v>
      </c>
      <c r="C2" s="5" t="str">
        <f aca="false">IFERROR(INDEX(Operators!$B:$B,MATCH(B2,Operators!$A:$A,0)),"")</f>
        <v>Sugarbush Soaring</v>
      </c>
      <c r="D2" s="5" t="s">
        <v>1222</v>
      </c>
      <c r="E2" s="5" t="s">
        <v>37</v>
      </c>
      <c r="F2" s="5" t="s">
        <v>1223</v>
      </c>
      <c r="G2" s="5" t="s">
        <v>1224</v>
      </c>
      <c r="H2" s="5" t="s">
        <v>1225</v>
      </c>
      <c r="I2" s="5" t="s">
        <v>1226</v>
      </c>
    </row>
    <row r="3" customFormat="false" ht="15" hidden="false" customHeight="false" outlineLevel="0" collapsed="false">
      <c r="C3" s="14" t="str">
        <f aca="false">IFERROR(INDEX(Operators!$B:$B,MATCH(B3,Operators!$A:$A,0)),"")</f>
        <v/>
      </c>
    </row>
    <row r="4" customFormat="false" ht="15" hidden="false" customHeight="false" outlineLevel="0" collapsed="false">
      <c r="C4" s="14" t="str">
        <f aca="false">IFERROR(INDEX(Operators!$B:$B,MATCH(B4,Operators!$A:$A,0)),"")</f>
        <v/>
      </c>
    </row>
    <row r="5" customFormat="false" ht="15" hidden="false" customHeight="false" outlineLevel="0" collapsed="false">
      <c r="C5" s="14" t="str">
        <f aca="false">IFERROR(INDEX(Operators!$B:$B,MATCH(B5,Operators!$A:$A,0)),"")</f>
        <v/>
      </c>
    </row>
    <row r="6" customFormat="false" ht="15" hidden="false" customHeight="false" outlineLevel="0" collapsed="false">
      <c r="C6" s="14" t="str">
        <f aca="false">IFERROR(INDEX(Operators!$B:$B,MATCH(B6,Operators!$A:$A,0)),"")</f>
        <v/>
      </c>
    </row>
    <row r="7" customFormat="false" ht="15" hidden="false" customHeight="false" outlineLevel="0" collapsed="false">
      <c r="C7" s="14" t="str">
        <f aca="false">IFERROR(INDEX(Operators!$B:$B,MATCH(B7,Operators!$A:$A,0)),"")</f>
        <v/>
      </c>
    </row>
    <row r="8" customFormat="false" ht="15" hidden="false" customHeight="false" outlineLevel="0" collapsed="false">
      <c r="C8" s="14" t="str">
        <f aca="false">IFERROR(INDEX(Operators!$B:$B,MATCH(B8,Operators!$A:$A,0)),"")</f>
        <v/>
      </c>
    </row>
    <row r="9" customFormat="false" ht="15" hidden="false" customHeight="false" outlineLevel="0" collapsed="false">
      <c r="C9" s="14" t="str">
        <f aca="false">IFERROR(INDEX(Operators!$B:$B,MATCH(B9,Operators!$A:$A,0)),"")</f>
        <v/>
      </c>
    </row>
    <row r="10" customFormat="false" ht="15" hidden="false" customHeight="false" outlineLevel="0" collapsed="false">
      <c r="C10" s="14" t="str">
        <f aca="false">IFERROR(INDEX(Operators!$B:$B,MATCH(B10,Operators!$A:$A,0)),"")</f>
        <v/>
      </c>
    </row>
    <row r="11" customFormat="false" ht="15" hidden="false" customHeight="false" outlineLevel="0" collapsed="false">
      <c r="C11" s="14" t="str">
        <f aca="false">IFERROR(INDEX(Operators!$B:$B,MATCH(B11,Operators!$A:$A,0)),"")</f>
        <v/>
      </c>
    </row>
    <row r="12" customFormat="false" ht="15" hidden="false" customHeight="false" outlineLevel="0" collapsed="false">
      <c r="C12" s="14" t="str">
        <f aca="false">IFERROR(INDEX(Operators!$B:$B,MATCH(B12,Operators!$A:$A,0)),"")</f>
        <v/>
      </c>
    </row>
    <row r="13" customFormat="false" ht="15" hidden="false" customHeight="false" outlineLevel="0" collapsed="false">
      <c r="C13" s="14" t="str">
        <f aca="false">IFERROR(INDEX(Operators!$B:$B,MATCH(B13,Operators!$A:$A,0)),"")</f>
        <v/>
      </c>
    </row>
    <row r="14" customFormat="false" ht="15" hidden="false" customHeight="false" outlineLevel="0" collapsed="false">
      <c r="C14" s="14" t="str">
        <f aca="false">IFERROR(INDEX(Operators!$B:$B,MATCH(B14,Operators!$A:$A,0)),"")</f>
        <v/>
      </c>
    </row>
    <row r="15" customFormat="false" ht="15" hidden="false" customHeight="false" outlineLevel="0" collapsed="false">
      <c r="C15" s="14" t="str">
        <f aca="false">IFERROR(INDEX(Operators!$B:$B,MATCH(B15,Operators!$A:$A,0)),"")</f>
        <v/>
      </c>
    </row>
    <row r="16" customFormat="false" ht="15" hidden="false" customHeight="false" outlineLevel="0" collapsed="false">
      <c r="C16" s="14" t="str">
        <f aca="false">IFERROR(INDEX(Operators!$B:$B,MATCH(B16,Operators!$A:$A,0)),"")</f>
        <v/>
      </c>
    </row>
    <row r="17" customFormat="false" ht="15" hidden="false" customHeight="false" outlineLevel="0" collapsed="false">
      <c r="C17" s="14" t="str">
        <f aca="false">IFERROR(INDEX(Operators!$B:$B,MATCH(B17,Operators!$A:$A,0)),"")</f>
        <v/>
      </c>
    </row>
    <row r="18" customFormat="false" ht="15" hidden="false" customHeight="false" outlineLevel="0" collapsed="false">
      <c r="C18" s="14" t="str">
        <f aca="false">IFERROR(INDEX(Operators!$B:$B,MATCH(B18,Operators!$A:$A,0)),"")</f>
        <v/>
      </c>
    </row>
    <row r="19" customFormat="false" ht="15" hidden="false" customHeight="false" outlineLevel="0" collapsed="false">
      <c r="C19" s="14" t="str">
        <f aca="false">IFERROR(INDEX(Operators!$B:$B,MATCH(B19,Operators!$A:$A,0)),"")</f>
        <v/>
      </c>
    </row>
    <row r="20" customFormat="false" ht="15" hidden="false" customHeight="false" outlineLevel="0" collapsed="false">
      <c r="C20" s="14" t="str">
        <f aca="false">IFERROR(INDEX(Operators!$B:$B,MATCH(B20,Operators!$A:$A,0)),"")</f>
        <v/>
      </c>
    </row>
    <row r="21" customFormat="false" ht="15" hidden="false" customHeight="false" outlineLevel="0" collapsed="false">
      <c r="C21" s="14" t="str">
        <f aca="false">IFERROR(INDEX(Operators!$B:$B,MATCH(B21,Operators!$A:$A,0)),"")</f>
        <v/>
      </c>
    </row>
    <row r="22" customFormat="false" ht="15" hidden="false" customHeight="false" outlineLevel="0" collapsed="false">
      <c r="C22" s="14" t="str">
        <f aca="false">IFERROR(INDEX(Operators!$B:$B,MATCH(B22,Operators!$A:$A,0)),"")</f>
        <v/>
      </c>
    </row>
    <row r="23" customFormat="false" ht="15" hidden="false" customHeight="false" outlineLevel="0" collapsed="false">
      <c r="C23" s="14" t="str">
        <f aca="false">IFERROR(INDEX(Operators!$B:$B,MATCH(B23,Operators!$A:$A,0)),"")</f>
        <v/>
      </c>
    </row>
    <row r="24" customFormat="false" ht="15" hidden="false" customHeight="false" outlineLevel="0" collapsed="false">
      <c r="C24" s="14" t="str">
        <f aca="false">IFERROR(INDEX(Operators!$B:$B,MATCH(B24,Operators!$A:$A,0)),"")</f>
        <v/>
      </c>
    </row>
    <row r="25" customFormat="false" ht="15" hidden="false" customHeight="false" outlineLevel="0" collapsed="false">
      <c r="C25" s="14" t="str">
        <f aca="false">IFERROR(INDEX(Operators!$B:$B,MATCH(B25,Operators!$A:$A,0)),"")</f>
        <v/>
      </c>
    </row>
    <row r="26" customFormat="false" ht="15" hidden="false" customHeight="false" outlineLevel="0" collapsed="false">
      <c r="C26" s="14" t="str">
        <f aca="false">IFERROR(INDEX(Operators!$B:$B,MATCH(B26,Operators!$A:$A,0)),"")</f>
        <v/>
      </c>
    </row>
    <row r="27" customFormat="false" ht="15" hidden="false" customHeight="false" outlineLevel="0" collapsed="false">
      <c r="C27" s="14" t="str">
        <f aca="false">IFERROR(INDEX(Operators!$B:$B,MATCH(B27,Operators!$A:$A,0)),"")</f>
        <v/>
      </c>
    </row>
    <row r="28" customFormat="false" ht="15" hidden="false" customHeight="false" outlineLevel="0" collapsed="false">
      <c r="C28" s="14" t="str">
        <f aca="false">IFERROR(INDEX(Operators!$B:$B,MATCH(B28,Operators!$A:$A,0)),"")</f>
        <v/>
      </c>
    </row>
    <row r="29" customFormat="false" ht="15" hidden="false" customHeight="false" outlineLevel="0" collapsed="false">
      <c r="C29" s="14" t="str">
        <f aca="false">IFERROR(INDEX(Operators!$B:$B,MATCH(B29,Operators!$A:$A,0)),"")</f>
        <v/>
      </c>
    </row>
    <row r="30" customFormat="false" ht="15" hidden="false" customHeight="false" outlineLevel="0" collapsed="false">
      <c r="C30" s="14" t="str">
        <f aca="false">IFERROR(INDEX(Operators!$B:$B,MATCH(B30,Operators!$A:$A,0)),"")</f>
        <v/>
      </c>
    </row>
    <row r="31" customFormat="false" ht="15" hidden="false" customHeight="false" outlineLevel="0" collapsed="false">
      <c r="C31" s="14" t="str">
        <f aca="false">IFERROR(INDEX(Operators!$B:$B,MATCH(B31,Operators!$A:$A,0)),"")</f>
        <v/>
      </c>
    </row>
    <row r="32" customFormat="false" ht="15" hidden="false" customHeight="false" outlineLevel="0" collapsed="false">
      <c r="C32" s="14" t="str">
        <f aca="false">IFERROR(INDEX(Operators!$B:$B,MATCH(B32,Operators!$A:$A,0)),"")</f>
        <v/>
      </c>
    </row>
    <row r="33" customFormat="false" ht="15" hidden="false" customHeight="false" outlineLevel="0" collapsed="false">
      <c r="C33" s="14" t="str">
        <f aca="false">IFERROR(INDEX(Operators!$B:$B,MATCH(B33,Operators!$A:$A,0)),"")</f>
        <v/>
      </c>
    </row>
    <row r="34" customFormat="false" ht="15" hidden="false" customHeight="false" outlineLevel="0" collapsed="false">
      <c r="C34" s="14" t="str">
        <f aca="false">IFERROR(INDEX(Operators!$B:$B,MATCH(B34,Operators!$A:$A,0)),"")</f>
        <v/>
      </c>
    </row>
    <row r="35" customFormat="false" ht="15" hidden="false" customHeight="false" outlineLevel="0" collapsed="false">
      <c r="C35" s="14" t="str">
        <f aca="false">IFERROR(INDEX(Operators!$B:$B,MATCH(B35,Operators!$A:$A,0)),"")</f>
        <v/>
      </c>
    </row>
    <row r="36" customFormat="false" ht="15" hidden="false" customHeight="false" outlineLevel="0" collapsed="false">
      <c r="C36" s="14" t="str">
        <f aca="false">IFERROR(INDEX(Operators!$B:$B,MATCH(B36,Operators!$A:$A,0)),"")</f>
        <v/>
      </c>
    </row>
    <row r="37" customFormat="false" ht="15" hidden="false" customHeight="false" outlineLevel="0" collapsed="false">
      <c r="C37" s="14" t="str">
        <f aca="false">IFERROR(INDEX(Operators!$B:$B,MATCH(B37,Operators!$A:$A,0)),"")</f>
        <v/>
      </c>
    </row>
    <row r="38" customFormat="false" ht="15" hidden="false" customHeight="false" outlineLevel="0" collapsed="false">
      <c r="C38" s="14" t="str">
        <f aca="false">IFERROR(INDEX(Operators!$B:$B,MATCH(B38,Operators!$A:$A,0)),"")</f>
        <v/>
      </c>
    </row>
    <row r="39" customFormat="false" ht="15" hidden="false" customHeight="false" outlineLevel="0" collapsed="false">
      <c r="C39" s="14" t="str">
        <f aca="false">IFERROR(INDEX(Operators!$B:$B,MATCH(B39,Operators!$A:$A,0)),"")</f>
        <v/>
      </c>
    </row>
    <row r="40" customFormat="false" ht="15" hidden="false" customHeight="false" outlineLevel="0" collapsed="false">
      <c r="C40" s="14" t="str">
        <f aca="false">IFERROR(INDEX(Operators!$B:$B,MATCH(B40,Operators!$A:$A,0)),"")</f>
        <v/>
      </c>
    </row>
    <row r="41" customFormat="false" ht="15" hidden="false" customHeight="false" outlineLevel="0" collapsed="false">
      <c r="C41" s="14" t="str">
        <f aca="false">IFERROR(INDEX(Operators!$B:$B,MATCH(B41,Operators!$A:$A,0)),"")</f>
        <v/>
      </c>
    </row>
    <row r="42" customFormat="false" ht="15" hidden="false" customHeight="false" outlineLevel="0" collapsed="false">
      <c r="C42" s="14" t="str">
        <f aca="false">IFERROR(INDEX(Operators!$B:$B,MATCH(B42,Operators!$A:$A,0)),"")</f>
        <v/>
      </c>
    </row>
    <row r="43" customFormat="false" ht="15" hidden="false" customHeight="false" outlineLevel="0" collapsed="false">
      <c r="C43" s="14" t="str">
        <f aca="false">IFERROR(INDEX(Operators!$B:$B,MATCH(B43,Operators!$A:$A,0)),"")</f>
        <v/>
      </c>
    </row>
    <row r="44" customFormat="false" ht="15" hidden="false" customHeight="false" outlineLevel="0" collapsed="false">
      <c r="C44" s="14" t="str">
        <f aca="false">IFERROR(INDEX(Operators!$B:$B,MATCH(B44,Operators!$A:$A,0)),"")</f>
        <v/>
      </c>
    </row>
    <row r="45" customFormat="false" ht="15" hidden="false" customHeight="false" outlineLevel="0" collapsed="false">
      <c r="C45" s="14" t="str">
        <f aca="false">IFERROR(INDEX(Operators!$B:$B,MATCH(B45,Operators!$A:$A,0)),"")</f>
        <v/>
      </c>
    </row>
    <row r="46" customFormat="false" ht="15" hidden="false" customHeight="false" outlineLevel="0" collapsed="false">
      <c r="C46" s="14" t="str">
        <f aca="false">IFERROR(INDEX(Operators!$B:$B,MATCH(B46,Operators!$A:$A,0)),"")</f>
        <v/>
      </c>
    </row>
    <row r="47" customFormat="false" ht="15" hidden="false" customHeight="false" outlineLevel="0" collapsed="false">
      <c r="C47" s="14" t="str">
        <f aca="false">IFERROR(INDEX(Operators!$B:$B,MATCH(B47,Operators!$A:$A,0)),"")</f>
        <v/>
      </c>
    </row>
    <row r="48" customFormat="false" ht="15" hidden="false" customHeight="false" outlineLevel="0" collapsed="false">
      <c r="C48" s="14" t="str">
        <f aca="false">IFERROR(INDEX(Operators!$B:$B,MATCH(B48,Operators!$A:$A,0)),"")</f>
        <v/>
      </c>
    </row>
    <row r="49" customFormat="false" ht="15" hidden="false" customHeight="false" outlineLevel="0" collapsed="false">
      <c r="C49" s="14" t="str">
        <f aca="false">IFERROR(INDEX(Operators!$B:$B,MATCH(B49,Operators!$A:$A,0)),"")</f>
        <v/>
      </c>
    </row>
    <row r="50" customFormat="false" ht="15" hidden="false" customHeight="false" outlineLevel="0" collapsed="false">
      <c r="C50" s="14" t="str">
        <f aca="false">IFERROR(INDEX(Operators!$B:$B,MATCH(B50,Operators!$A:$A,0)),"")</f>
        <v/>
      </c>
    </row>
    <row r="51" customFormat="false" ht="15" hidden="false" customHeight="false" outlineLevel="0" collapsed="false">
      <c r="C51" s="14" t="str">
        <f aca="false">IFERROR(INDEX(Operators!$B:$B,MATCH(B51,Operators!$A:$A,0)),"")</f>
        <v/>
      </c>
    </row>
    <row r="52" customFormat="false" ht="15" hidden="false" customHeight="false" outlineLevel="0" collapsed="false">
      <c r="C52" s="14" t="str">
        <f aca="false">IFERROR(INDEX(Operators!$B:$B,MATCH(B52,Operators!$A:$A,0)),"")</f>
        <v/>
      </c>
    </row>
    <row r="53" customFormat="false" ht="15" hidden="false" customHeight="false" outlineLevel="0" collapsed="false">
      <c r="C53" s="14" t="str">
        <f aca="false">IFERROR(INDEX(Operators!$B:$B,MATCH(B53,Operators!$A:$A,0)),"")</f>
        <v/>
      </c>
    </row>
    <row r="54" customFormat="false" ht="15" hidden="false" customHeight="false" outlineLevel="0" collapsed="false">
      <c r="C54" s="14" t="str">
        <f aca="false">IFERROR(INDEX(Operators!$B:$B,MATCH(B54,Operators!$A:$A,0)),"")</f>
        <v/>
      </c>
    </row>
    <row r="55" customFormat="false" ht="15" hidden="false" customHeight="false" outlineLevel="0" collapsed="false">
      <c r="C55" s="14" t="str">
        <f aca="false">IFERROR(INDEX(Operators!$B:$B,MATCH(B55,Operators!$A:$A,0)),"")</f>
        <v/>
      </c>
    </row>
    <row r="56" customFormat="false" ht="15" hidden="false" customHeight="false" outlineLevel="0" collapsed="false">
      <c r="C56" s="14" t="str">
        <f aca="false">IFERROR(INDEX(Operators!$B:$B,MATCH(B56,Operators!$A:$A,0)),"")</f>
        <v/>
      </c>
    </row>
    <row r="57" customFormat="false" ht="15" hidden="false" customHeight="false" outlineLevel="0" collapsed="false">
      <c r="C57" s="14" t="str">
        <f aca="false">IFERROR(INDEX(Operators!$B:$B,MATCH(B57,Operators!$A:$A,0)),"")</f>
        <v/>
      </c>
    </row>
    <row r="58" customFormat="false" ht="15" hidden="false" customHeight="false" outlineLevel="0" collapsed="false">
      <c r="C58" s="14" t="str">
        <f aca="false">IFERROR(INDEX(Operators!$B:$B,MATCH(B58,Operators!$A:$A,0)),"")</f>
        <v/>
      </c>
    </row>
    <row r="59" customFormat="false" ht="15" hidden="false" customHeight="false" outlineLevel="0" collapsed="false">
      <c r="C59" s="14" t="str">
        <f aca="false">IFERROR(INDEX(Operators!$B:$B,MATCH(B59,Operators!$A:$A,0)),"")</f>
        <v/>
      </c>
    </row>
  </sheetData>
  <autoFilter ref="A1:I2"/>
  <dataValidations count="2">
    <dataValidation allowBlank="true" errorStyle="stop" operator="between" showDropDown="false" showErrorMessage="false" showInputMessage="false" sqref="I2:I200" type="list">
      <formula1>"Not started,Contacted,Checkout booked,Checked out,Member"</formula1>
      <formula2>0</formula2>
    </dataValidation>
    <dataValidation allowBlank="true" errorStyle="stop" operator="between" showDropDown="false" showErrorMessage="false" showInputMessage="false" sqref="E2:E200" type="list">
      <formula1>"Phone,Email,Visit,Web form"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2026-09-22T19:14:57Z</dcterms:created>
  <dc:creator>openpyxl</dc:creator>
  <dc:description/>
  <dc:language>en-US</dc:language>
  <cp:lastModifiedBy/>
  <dcterms:modified xsi:type="dcterms:W3CDTF">2026-09-22T19:14:58Z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